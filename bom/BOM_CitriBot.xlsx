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'BOM'!$A$1:$M$112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D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F28C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34" customWidth="1" min="4" max="4"/>
    <col width="9" customWidth="1" min="5" max="5"/>
    <col width="7" customWidth="1" min="6" max="6"/>
    <col width="40" customWidth="1" min="7" max="7"/>
    <col width="20" customWidth="1" min="8" max="8"/>
    <col width="14" customWidth="1" min="9" max="9"/>
    <col width="11" customWidth="1" min="10" max="10"/>
    <col width="22" customWidth="1" min="11" max="11"/>
    <col width="3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Subsistema</t>
        </is>
      </c>
      <c r="C1" s="1" t="inlineStr">
        <is>
          <t>Componente</t>
        </is>
      </c>
      <c r="D1" s="1" t="inlineStr">
        <is>
          <t>Especificacion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Uso</t>
        </is>
      </c>
      <c r="H1" s="1" t="inlineStr">
        <is>
          <t>Origen</t>
        </is>
      </c>
      <c r="I1" s="1" t="inlineStr">
        <is>
          <t>Estado</t>
        </is>
      </c>
      <c r="J1" s="1" t="inlineStr">
        <is>
          <t>Precio_USD</t>
        </is>
      </c>
      <c r="K1" s="1" t="inlineStr">
        <is>
          <t>Proveedor</t>
        </is>
      </c>
      <c r="L1" s="1" t="inlineStr">
        <is>
          <t>Link</t>
        </is>
      </c>
      <c r="M1" s="1" t="inlineStr">
        <is>
          <t>Notas</t>
        </is>
      </c>
    </row>
    <row r="2">
      <c r="A2" s="2" t="inlineStr">
        <is>
          <t>E01</t>
        </is>
      </c>
      <c r="B2" s="2" t="inlineStr">
        <is>
          <t>Control y potencia</t>
        </is>
      </c>
      <c r="C2" s="2" t="inlineStr">
        <is>
          <t>Arduino MEGA 2560</t>
        </is>
      </c>
      <c r="D2" s="2" t="inlineStr">
        <is>
          <t>ATmega2560, 5 V</t>
        </is>
      </c>
      <c r="E2" s="2" t="n">
        <v>1</v>
      </c>
      <c r="F2" s="2" t="inlineStr">
        <is>
          <t>u</t>
        </is>
      </c>
      <c r="G2" s="2" t="inlineStr">
        <is>
          <t>Controlador principal</t>
        </is>
      </c>
      <c r="H2" s="2" t="inlineStr">
        <is>
          <t>Préstamo laboratorio</t>
        </is>
      </c>
      <c r="I2" s="2" t="inlineStr">
        <is>
          <t>Prestado</t>
        </is>
      </c>
      <c r="J2" s="3" t="n"/>
      <c r="K2" s="2" t="inlineStr">
        <is>
          <t>Laboratorio de Robótica</t>
        </is>
      </c>
      <c r="L2" s="2" t="inlineStr"/>
      <c r="M2" s="2" t="inlineStr">
        <is>
          <t>Devolver al terminar el TPF</t>
        </is>
      </c>
    </row>
    <row r="3">
      <c r="A3" s="2" t="inlineStr">
        <is>
          <t>E02</t>
        </is>
      </c>
      <c r="B3" s="2" t="inlineStr">
        <is>
          <t>Control y potencia</t>
        </is>
      </c>
      <c r="C3" s="2" t="inlineStr">
        <is>
          <t>RAMPS 1.4</t>
        </is>
      </c>
      <c r="D3" s="2" t="inlineStr">
        <is>
          <t>Shield para MEGA, 5 zócalos de driver</t>
        </is>
      </c>
      <c r="E3" s="2" t="n">
        <v>1</v>
      </c>
      <c r="F3" s="2" t="inlineStr">
        <is>
          <t>u</t>
        </is>
      </c>
      <c r="G3" s="2" t="inlineStr">
        <is>
          <t>Drivers paso a paso, finales de carrera y salidas MOSFET</t>
        </is>
      </c>
      <c r="H3" s="2" t="inlineStr">
        <is>
          <t>Préstamo laboratorio</t>
        </is>
      </c>
      <c r="I3" s="2" t="inlineStr">
        <is>
          <t>Prestado</t>
        </is>
      </c>
      <c r="J3" s="3" t="n"/>
      <c r="K3" s="2" t="inlineStr">
        <is>
          <t>Laboratorio de Robótica</t>
        </is>
      </c>
      <c r="L3" s="2" t="inlineStr"/>
      <c r="M3" s="2" t="inlineStr">
        <is>
          <t>Devolver al terminar el TPF</t>
        </is>
      </c>
    </row>
    <row r="4">
      <c r="A4" s="2" t="inlineStr">
        <is>
          <t>E03</t>
        </is>
      </c>
      <c r="B4" s="2" t="inlineStr">
        <is>
          <t>Control y potencia</t>
        </is>
      </c>
      <c r="C4" s="2" t="inlineStr">
        <is>
          <t>Driver A4988</t>
        </is>
      </c>
      <c r="D4" s="2" t="inlineStr">
        <is>
          <t>Paso a paso, 2 A pico, 8–35 V</t>
        </is>
      </c>
      <c r="E4" s="2" t="n">
        <v>1</v>
      </c>
      <c r="F4" s="2" t="inlineStr">
        <is>
          <t>u</t>
        </is>
      </c>
      <c r="G4" s="2" t="inlineStr">
        <is>
          <t>J3 prismático (NEMA 17 + correa GT2), en zócalo de la RAMPS</t>
        </is>
      </c>
      <c r="H4" s="2" t="inlineStr">
        <is>
          <t>Préstamo laboratorio</t>
        </is>
      </c>
      <c r="I4" s="2" t="inlineStr">
        <is>
          <t>Prestado</t>
        </is>
      </c>
      <c r="J4" s="3" t="n"/>
      <c r="K4" s="2" t="inlineStr">
        <is>
          <t>Laboratorio de Robótica</t>
        </is>
      </c>
      <c r="L4" s="2" t="inlineStr"/>
      <c r="M4" s="2" t="inlineStr">
        <is>
          <t>El laboratorio tiene 14: conviene pedir 1 de repuesto. Con un NEMA 17 de 1,7 A, regular a ≈ 1,2 A y poner disipador</t>
        </is>
      </c>
    </row>
    <row r="5">
      <c r="A5" s="2" t="inlineStr">
        <is>
          <t>E04</t>
        </is>
      </c>
      <c r="B5" s="2" t="inlineStr">
        <is>
          <t>Control y potencia</t>
        </is>
      </c>
      <c r="C5" s="2" t="inlineStr">
        <is>
          <t>Sabertooth dual 25A</t>
        </is>
      </c>
      <c r="D5" s="2" t="inlineStr">
        <is>
          <t>2 canales DC, 6–30 V</t>
        </is>
      </c>
      <c r="E5" s="2" t="n">
        <v>1</v>
      </c>
      <c r="F5" s="2" t="inlineStr">
        <is>
          <t>u</t>
        </is>
      </c>
      <c r="G5" s="2" t="inlineStr">
        <is>
          <t>J1 cintura (37D) y J2 hombro (5840)</t>
        </is>
      </c>
      <c r="H5" s="2" t="inlineStr">
        <is>
          <t>Préstamo laboratorio</t>
        </is>
      </c>
      <c r="I5" s="2" t="inlineStr">
        <is>
          <t>Prestado</t>
        </is>
      </c>
      <c r="J5" s="3" t="n"/>
      <c r="K5" s="2" t="inlineStr">
        <is>
          <t>Laboratorio de Robótica</t>
        </is>
      </c>
      <c r="L5" s="2" t="inlineStr"/>
      <c r="M5" s="2" t="inlineStr">
        <is>
          <t>El CAD (CB-510) modela un Sabertooth 2x60; el del laboratorio es 2x25: revisar agujeros en la bandeja CB-141</t>
        </is>
      </c>
    </row>
    <row r="6">
      <c r="A6" s="2" t="inlineStr">
        <is>
          <t>E05</t>
        </is>
      </c>
      <c r="B6" s="2" t="inlineStr">
        <is>
          <t>Control y potencia</t>
        </is>
      </c>
      <c r="C6" s="2" t="inlineStr">
        <is>
          <t>Driver TB6600</t>
        </is>
      </c>
      <c r="D6" s="2" t="inlineStr">
        <is>
          <t>Paso a paso 4 A (5 A pico), 9–40 V</t>
        </is>
      </c>
      <c r="E6" s="2" t="n">
        <v>1</v>
      </c>
      <c r="F6" s="2" t="inlineStr">
        <is>
          <t>u</t>
        </is>
      </c>
      <c r="G6" s="2" t="inlineStr">
        <is>
          <t>J0 riel (NEMA 17)</t>
        </is>
      </c>
      <c r="H6" s="2" t="inlineStr">
        <is>
          <t>Préstamo laboratorio</t>
        </is>
      </c>
      <c r="I6" s="2" t="inlineStr">
        <is>
          <t>Prestado</t>
        </is>
      </c>
      <c r="J6" s="3" t="n"/>
      <c r="K6" s="2" t="inlineStr">
        <is>
          <t>Laboratorio de Robótica</t>
        </is>
      </c>
      <c r="L6" s="2" t="inlineStr"/>
      <c r="M6" s="2" t="inlineStr">
        <is>
          <t>Devolver al terminar el TPF</t>
        </is>
      </c>
    </row>
    <row r="7">
      <c r="A7" s="2" t="inlineStr">
        <is>
          <t>E06</t>
        </is>
      </c>
      <c r="B7" s="2" t="inlineStr">
        <is>
          <t>Control y potencia</t>
        </is>
      </c>
      <c r="C7" s="2" t="inlineStr">
        <is>
          <t>ProtoScrew Shield</t>
        </is>
      </c>
      <c r="D7" s="2" t="inlineStr">
        <is>
          <t>Borneras para Arduino</t>
        </is>
      </c>
      <c r="E7" s="2" t="n">
        <v>1</v>
      </c>
      <c r="F7" s="2" t="inlineStr">
        <is>
          <t>u</t>
        </is>
      </c>
      <c r="G7" s="2" t="inlineStr">
        <is>
          <t>Cableado</t>
        </is>
      </c>
      <c r="H7" s="2" t="inlineStr">
        <is>
          <t>Préstamo laboratorio</t>
        </is>
      </c>
      <c r="I7" s="2" t="inlineStr">
        <is>
          <t>Por confirmar</t>
        </is>
      </c>
      <c r="J7" s="3" t="n"/>
      <c r="K7" s="2" t="inlineStr">
        <is>
          <t>Laboratorio de Robótica</t>
        </is>
      </c>
      <c r="L7" s="2" t="inlineStr"/>
      <c r="M7" s="2" t="inlineStr">
        <is>
          <t>Figuraba en la BOM anterior para pedir; confirmar si se usa con la RAMPS</t>
        </is>
      </c>
    </row>
    <row r="8">
      <c r="A8" s="2" t="inlineStr">
        <is>
          <t>E07</t>
        </is>
      </c>
      <c r="B8" s="2" t="inlineStr">
        <is>
          <t>Control y potencia</t>
        </is>
      </c>
      <c r="C8" s="2" t="inlineStr">
        <is>
          <t>Módulo MOSFET 12 V</t>
        </is>
      </c>
      <c r="D8" s="2" t="inlineStr">
        <is>
          <t>Canal lógico 5 V, ≥ 3 A</t>
        </is>
      </c>
      <c r="E8" s="2" t="n">
        <v>2</v>
      </c>
      <c r="F8" s="2" t="inlineStr">
        <is>
          <t>u</t>
        </is>
      </c>
      <c r="G8" s="2" t="inlineStr">
        <is>
          <t>Bomba de vacío y electroválvula</t>
        </is>
      </c>
      <c r="H8" s="2" t="inlineStr">
        <is>
          <t>Por comprar</t>
        </is>
      </c>
      <c r="I8" s="2" t="inlineStr">
        <is>
          <t>Falta</t>
        </is>
      </c>
      <c r="J8" s="3" t="n"/>
      <c r="K8" s="2" t="inlineStr"/>
      <c r="L8" s="2" t="inlineStr"/>
      <c r="M8" s="2" t="inlineStr">
        <is>
          <t>Alternativa: salidas D8/D9/D10 de la RAMPS</t>
        </is>
      </c>
    </row>
    <row r="9">
      <c r="A9" s="2" t="inlineStr">
        <is>
          <t>M01</t>
        </is>
      </c>
      <c r="B9" s="2" t="inlineStr">
        <is>
          <t>Motores y actuadores</t>
        </is>
      </c>
      <c r="C9" s="2" t="inlineStr">
        <is>
          <t>Motorreductor 37D con encoder</t>
        </is>
      </c>
      <c r="D9" s="2" t="inlineStr">
        <is>
          <t>37Dx70.1L, 12 V, 90:1, encoder cuadratura 64 CPR</t>
        </is>
      </c>
      <c r="E9" s="2" t="n">
        <v>1</v>
      </c>
      <c r="F9" s="2" t="inlineStr">
        <is>
          <t>u</t>
        </is>
      </c>
      <c r="G9" s="2" t="inlineStr">
        <is>
          <t>J1 cintura (lazo cerrado)</t>
        </is>
      </c>
      <c r="H9" s="2" t="inlineStr">
        <is>
          <t>Propio</t>
        </is>
      </c>
      <c r="I9" s="2" t="inlineStr">
        <is>
          <t>Por confirmar</t>
        </is>
      </c>
      <c r="J9" s="3" t="n"/>
      <c r="K9" s="2" t="inlineStr"/>
      <c r="L9" s="2" t="inlineStr"/>
      <c r="M9" s="2" t="inlineStr">
        <is>
          <t>Confirmar reducción real del motor que tienen</t>
        </is>
      </c>
    </row>
    <row r="10">
      <c r="A10" s="2" t="inlineStr">
        <is>
          <t>M02</t>
        </is>
      </c>
      <c r="B10" s="2" t="inlineStr">
        <is>
          <t>Motores y actuadores</t>
        </is>
      </c>
      <c r="C10" s="2" t="inlineStr">
        <is>
          <t>Motorreductor sinfín 5840-36ZY</t>
        </is>
      </c>
      <c r="D10" s="2" t="inlineStr">
        <is>
          <t>12 V, 12 rpm (9 con carga), eje D8 con plano a 7, fijación 4 × M4 prof. 6</t>
        </is>
      </c>
      <c r="E10" s="2" t="n">
        <v>1</v>
      </c>
      <c r="F10" s="2" t="inlineStr">
        <is>
          <t>u</t>
        </is>
      </c>
      <c r="G10" s="2" t="inlineStr">
        <is>
          <t>J2 hombro (direct drive)</t>
        </is>
      </c>
      <c r="H10" s="2" t="inlineStr">
        <is>
          <t>Compra grupal</t>
        </is>
      </c>
      <c r="I10" s="2" t="inlineStr">
        <is>
          <t>Pedido</t>
        </is>
      </c>
      <c r="J10" s="3" t="n">
        <v>36.5</v>
      </c>
      <c r="K10" s="2" t="inlineStr">
        <is>
          <t>AliExpress</t>
        </is>
      </c>
      <c r="L10" s="2" t="inlineStr"/>
      <c r="M10" s="2" t="inlineStr">
        <is>
          <t>Un vendedor da ≈ 70 kg·cm sin decir si es nominal o de bloqueo (bloqueo 6,5 A). Con la v7 el hombro pide ≈ 39 kg·cm de pico (control/torques.py): probar colgando 1 kg a 40 cm del eje. Medir con calibre antes de imprimir CB-210</t>
        </is>
      </c>
    </row>
    <row r="11">
      <c r="A11" s="2" t="inlineStr">
        <is>
          <t>M03</t>
        </is>
      </c>
      <c r="B11" s="2" t="inlineStr">
        <is>
          <t>Motores y actuadores</t>
        </is>
      </c>
      <c r="C11" s="2" t="inlineStr">
        <is>
          <t>Motor paso a paso NEMA 17</t>
        </is>
      </c>
      <c r="D11" s="2" t="inlineStr">
        <is>
          <t>40 mm, ≈ 4,5 kg·cm, 1,7 A, eje Ø5 (tipo 17HS4401)</t>
        </is>
      </c>
      <c r="E11" s="2" t="n">
        <v>1</v>
      </c>
      <c r="F11" s="2" t="inlineStr">
        <is>
          <t>u</t>
        </is>
      </c>
      <c r="G11" s="2" t="inlineStr">
        <is>
          <t>J3 prismático (sobre el cubo de E2, mueve la correa GT2)</t>
        </is>
      </c>
      <c r="H11" s="2" t="inlineStr">
        <is>
          <t>Por definir</t>
        </is>
      </c>
      <c r="I11" s="2" t="inlineStr">
        <is>
          <t>Por confirmar</t>
        </is>
      </c>
      <c r="J11" s="3" t="n"/>
      <c r="K11" s="2" t="inlineStr"/>
      <c r="L11" s="2" t="inlineStr"/>
      <c r="M11" s="2" t="inlineStr">
        <is>
          <t>El 17HS2408 del riel (M04) es más corto y tiene menos torque: no sirve para J3. CAD: CB-505 sobre la placa CB-306</t>
        </is>
      </c>
    </row>
    <row r="12">
      <c r="A12" s="2" t="inlineStr">
        <is>
          <t>M04</t>
        </is>
      </c>
      <c r="B12" s="2" t="inlineStr">
        <is>
          <t>Motores y actuadores</t>
        </is>
      </c>
      <c r="C12" s="2" t="inlineStr">
        <is>
          <t>Motor paso a paso NEMA 17</t>
        </is>
      </c>
      <c r="D12" s="2" t="inlineStr">
        <is>
          <t>17HS2408</t>
        </is>
      </c>
      <c r="E12" s="2" t="n">
        <v>1</v>
      </c>
      <c r="F12" s="2" t="inlineStr">
        <is>
          <t>u</t>
        </is>
      </c>
      <c r="G12" s="2" t="inlineStr">
        <is>
          <t>J0 riel</t>
        </is>
      </c>
      <c r="H12" s="2" t="inlineStr">
        <is>
          <t>Propio</t>
        </is>
      </c>
      <c r="I12" s="2" t="inlineStr">
        <is>
          <t>Por confirmar</t>
        </is>
      </c>
      <c r="J12" s="3" t="n"/>
      <c r="K12" s="2" t="inlineStr">
        <is>
          <t>Electrónica.com.py</t>
        </is>
      </c>
      <c r="L12" s="2" t="inlineStr">
        <is>
          <t>https://www.electronica.com.py/producto/motor-nema-17-17hs2408-s/</t>
        </is>
      </c>
      <c r="M12" s="2" t="inlineStr"/>
    </row>
    <row r="13">
      <c r="A13" s="2" t="inlineStr">
        <is>
          <t>M05</t>
        </is>
      </c>
      <c r="B13" s="2" t="inlineStr">
        <is>
          <t>Motores y actuadores</t>
        </is>
      </c>
      <c r="C13" s="2" t="inlineStr">
        <is>
          <t>Servo MG996R</t>
        </is>
      </c>
      <c r="D13" s="2" t="inlineStr">
        <is>
          <t>180°, engranajes metálicos, 4.8–7.2 V</t>
        </is>
      </c>
      <c r="E13" s="2" t="n">
        <v>2</v>
      </c>
      <c r="F13" s="2" t="inlineStr">
        <is>
          <t>u</t>
        </is>
      </c>
      <c r="G13" s="2" t="inlineStr">
        <is>
          <t>J4 muñeca (cabeceo) y J5 torsión</t>
        </is>
      </c>
      <c r="H13" s="2" t="inlineStr">
        <is>
          <t>Compra grupal</t>
        </is>
      </c>
      <c r="I13" s="2" t="inlineStr">
        <is>
          <t>Pedido</t>
        </is>
      </c>
      <c r="J13" s="3" t="n">
        <v>11.53</v>
      </c>
      <c r="K13" s="2" t="inlineStr">
        <is>
          <t>AliExpress</t>
        </is>
      </c>
      <c r="L13" s="2" t="inlineStr"/>
      <c r="M13" s="2" t="inlineStr">
        <is>
          <t>Precio del pedido 'Servos'</t>
        </is>
      </c>
    </row>
    <row r="14">
      <c r="A14" s="2" t="inlineStr">
        <is>
          <t>S01</t>
        </is>
      </c>
      <c r="B14" s="2" t="inlineStr">
        <is>
          <t>Sensores</t>
        </is>
      </c>
      <c r="C14" s="2" t="inlineStr">
        <is>
          <t>Módulo AS5600</t>
        </is>
      </c>
      <c r="D14" s="2" t="inlineStr">
        <is>
          <t>Encoder magnético 12 bit, I2C</t>
        </is>
      </c>
      <c r="E14" s="2" t="n">
        <v>1</v>
      </c>
      <c r="F14" s="2" t="inlineStr">
        <is>
          <t>u</t>
        </is>
      </c>
      <c r="G14" s="2" t="inlineStr">
        <is>
          <t>J2 hombro (ángulo real de E2)</t>
        </is>
      </c>
      <c r="H14" s="2" t="inlineStr">
        <is>
          <t>Compra grupal</t>
        </is>
      </c>
      <c r="I14" s="2" t="inlineStr">
        <is>
          <t>Por confirmar</t>
        </is>
      </c>
      <c r="J14" s="3" t="n">
        <v>7.99</v>
      </c>
      <c r="K14" s="2" t="inlineStr">
        <is>
          <t>Amazon</t>
        </is>
      </c>
      <c r="L14" s="2" t="inlineStr"/>
      <c r="M14" s="2" t="inlineStr">
        <is>
          <t>En el pedido figura 'Encoder' (Amazon, USD 7.99): confirmar que es el AS5600</t>
        </is>
      </c>
    </row>
    <row r="15">
      <c r="A15" s="2" t="inlineStr">
        <is>
          <t>S02</t>
        </is>
      </c>
      <c r="B15" s="2" t="inlineStr">
        <is>
          <t>Sensores</t>
        </is>
      </c>
      <c r="C15" s="2" t="inlineStr">
        <is>
          <t>Imán de neodimio diametral</t>
        </is>
      </c>
      <c r="D15" s="2" t="inlineStr">
        <is>
          <t>Ø6 × 2.5 mm</t>
        </is>
      </c>
      <c r="E15" s="2" t="n">
        <v>1</v>
      </c>
      <c r="F15" s="2" t="inlineStr">
        <is>
          <t>u</t>
        </is>
      </c>
      <c r="G15" s="2" t="inlineStr">
        <is>
          <t>AS5600 del hombro</t>
        </is>
      </c>
      <c r="H15" s="2" t="inlineStr">
        <is>
          <t>Compra grupal</t>
        </is>
      </c>
      <c r="I15" s="2" t="inlineStr">
        <is>
          <t>Por confirmar</t>
        </is>
      </c>
      <c r="J15" s="3" t="n"/>
      <c r="K15" s="2" t="inlineStr"/>
      <c r="L15" s="2" t="inlineStr"/>
      <c r="M15" s="2" t="inlineStr">
        <is>
          <t>Suele venir con el módulo AS5600</t>
        </is>
      </c>
    </row>
    <row r="16">
      <c r="A16" s="2" t="inlineStr">
        <is>
          <t>S03</t>
        </is>
      </c>
      <c r="B16" s="2" t="inlineStr">
        <is>
          <t>Sensores</t>
        </is>
      </c>
      <c r="C16" s="2" t="inlineStr">
        <is>
          <t>Sensor de presión MPS20N0040D</t>
        </is>
      </c>
      <c r="D16" s="2" t="inlineStr">
        <is>
          <t>0–40 kPa, con conversor HX710B</t>
        </is>
      </c>
      <c r="E16" s="2" t="n">
        <v>1</v>
      </c>
      <c r="F16" s="2" t="inlineStr">
        <is>
          <t>u</t>
        </is>
      </c>
      <c r="G16" s="2" t="inlineStr">
        <is>
          <t>Detectar agarre por vacío</t>
        </is>
      </c>
      <c r="H16" s="2" t="inlineStr">
        <is>
          <t>Compra grupal</t>
        </is>
      </c>
      <c r="I16" s="2" t="inlineStr">
        <is>
          <t>Pedido</t>
        </is>
      </c>
      <c r="J16" s="3" t="n">
        <v>4.15</v>
      </c>
      <c r="K16" s="2" t="inlineStr">
        <is>
          <t>AliExpress</t>
        </is>
      </c>
      <c r="L16" s="2" t="inlineStr">
        <is>
          <t>https://www.amazon.com/dp/B09XV6XHG3</t>
        </is>
      </c>
      <c r="M16" s="2" t="inlineStr"/>
    </row>
    <row r="17">
      <c r="A17" s="2" t="inlineStr">
        <is>
          <t>S04</t>
        </is>
      </c>
      <c r="B17" s="2" t="inlineStr">
        <is>
          <t>Sensores</t>
        </is>
      </c>
      <c r="C17" s="2" t="inlineStr">
        <is>
          <t>Final de carrera</t>
        </is>
      </c>
      <c r="D17" s="2" t="inlineStr">
        <is>
          <t>Microswitch con palanca</t>
        </is>
      </c>
      <c r="E17" s="2" t="n">
        <v>3</v>
      </c>
      <c r="F17" s="2" t="inlineStr">
        <is>
          <t>u</t>
        </is>
      </c>
      <c r="G17" s="2" t="inlineStr">
        <is>
          <t>Homing de J0, J1 y J3</t>
        </is>
      </c>
      <c r="H17" s="2" t="inlineStr">
        <is>
          <t>Por comprar</t>
        </is>
      </c>
      <c r="I17" s="2" t="inlineStr">
        <is>
          <t>Falta</t>
        </is>
      </c>
      <c r="J17" s="3" t="n"/>
      <c r="K17" s="2" t="inlineStr"/>
      <c r="L17" s="2" t="inlineStr"/>
      <c r="M17" s="2" t="inlineStr"/>
    </row>
    <row r="18">
      <c r="A18" s="2" t="inlineStr">
        <is>
          <t>V01</t>
        </is>
      </c>
      <c r="B18" s="2" t="inlineStr">
        <is>
          <t>Visión</t>
        </is>
      </c>
      <c r="C18" s="2" t="inlineStr">
        <is>
          <t>Cámara web USB Logitech C270</t>
        </is>
      </c>
      <c r="D18" s="2" t="inlineStr">
        <is>
          <t>720p, 30 fps, foco fijo, ~55° de campo diagonal</t>
        </is>
      </c>
      <c r="E18" s="2" t="n">
        <v>2</v>
      </c>
      <c r="F18" s="2" t="inlineStr">
        <is>
          <t>u</t>
        </is>
      </c>
      <c r="G18" s="2" t="inlineStr">
        <is>
          <t>Visión estéreo, en el soporte CB-156 del mástil (71 mm entre lentes)</t>
        </is>
      </c>
      <c r="H18" s="2" t="inlineStr">
        <is>
          <t>Compra grupal</t>
        </is>
      </c>
      <c r="I18" s="2" t="inlineStr">
        <is>
          <t>Pedido</t>
        </is>
      </c>
      <c r="J18" s="3" t="n">
        <v>16.89</v>
      </c>
      <c r="K18" s="2" t="inlineStr">
        <is>
          <t>Amazon</t>
        </is>
      </c>
      <c r="L18" s="2" t="inlineStr">
        <is>
          <t>https://www.amazon.com/dp/B07R8LQKV4</t>
        </is>
      </c>
      <c r="M18" s="2" t="inlineStr">
        <is>
          <t>Precio del pedido 'Cámaras': confirmar si es por unidad o por las dos. CAD: CB-515. Se cuelgan con su propia pinza de monitor en la pared del soporte</t>
        </is>
      </c>
    </row>
    <row r="19">
      <c r="A19" s="2" t="inlineStr">
        <is>
          <t>V02</t>
        </is>
      </c>
      <c r="B19" s="2" t="inlineStr">
        <is>
          <t>Visión</t>
        </is>
      </c>
      <c r="C19" s="2" t="inlineStr">
        <is>
          <t>Notebook</t>
        </is>
      </c>
      <c r="D19" s="2" t="inlineStr">
        <is>
          <t>Python + OpenCV</t>
        </is>
      </c>
      <c r="E19" s="2" t="n">
        <v>1</v>
      </c>
      <c r="F19" s="2" t="inlineStr">
        <is>
          <t>u</t>
        </is>
      </c>
      <c r="G19" s="2" t="inlineStr">
        <is>
          <t>Visión y control de alto nivel</t>
        </is>
      </c>
      <c r="H19" s="2" t="inlineStr">
        <is>
          <t>Propio</t>
        </is>
      </c>
      <c r="I19" s="2" t="inlineStr">
        <is>
          <t>En mano</t>
        </is>
      </c>
      <c r="J19" s="3" t="n"/>
      <c r="K19" s="2" t="inlineStr"/>
      <c r="L19" s="2" t="inlineStr"/>
      <c r="M19" s="2" t="inlineStr"/>
    </row>
    <row r="20">
      <c r="A20" s="2" t="inlineStr">
        <is>
          <t>V03</t>
        </is>
      </c>
      <c r="B20" s="2" t="inlineStr">
        <is>
          <t>Visión</t>
        </is>
      </c>
      <c r="C20" s="2" t="inlineStr">
        <is>
          <t>Tablero de calibración</t>
        </is>
      </c>
      <c r="D20" s="2" t="inlineStr">
        <is>
          <t>Damero 9 × 6 esquinas, cuadro 25 mm, sobre base rígida</t>
        </is>
      </c>
      <c r="E20" s="2" t="n">
        <v>1</v>
      </c>
      <c r="F20" s="2" t="inlineStr">
        <is>
          <t>u</t>
        </is>
      </c>
      <c r="G20" s="2" t="inlineStr">
        <is>
          <t>Stereo calibration</t>
        </is>
      </c>
      <c r="H20" s="2" t="inlineStr">
        <is>
          <t>Propio</t>
        </is>
      </c>
      <c r="I20" s="2" t="inlineStr">
        <is>
          <t>Falta</t>
        </is>
      </c>
      <c r="J20" s="3" t="n"/>
      <c r="K20" s="2" t="inlineStr"/>
      <c r="L20" s="2" t="inlineStr"/>
      <c r="M20" s="2" t="inlineStr">
        <is>
          <t>Medidas en vision/config/camaras.yaml</t>
        </is>
      </c>
    </row>
    <row r="21">
      <c r="A21" s="2" t="inlineStr">
        <is>
          <t>N01</t>
        </is>
      </c>
      <c r="B21" s="2" t="inlineStr">
        <is>
          <t>Neumática</t>
        </is>
      </c>
      <c r="C21" s="2" t="inlineStr">
        <is>
          <t>Ventosa JXD SAB40 (fuelle)</t>
        </is>
      </c>
      <c r="D21" s="2" t="inlineStr">
        <is>
          <t>Ø40, rosca hembra G1/4</t>
        </is>
      </c>
      <c r="E21" s="2" t="n">
        <v>1</v>
      </c>
      <c r="F21" s="2" t="inlineStr">
        <is>
          <t>u</t>
        </is>
      </c>
      <c r="G21" s="2" t="inlineStr">
        <is>
          <t>Agarre de la naranja</t>
        </is>
      </c>
      <c r="H21" s="2" t="inlineStr">
        <is>
          <t>Compra grupal</t>
        </is>
      </c>
      <c r="I21" s="2" t="inlineStr">
        <is>
          <t>Pedido</t>
        </is>
      </c>
      <c r="J21" s="3" t="n">
        <v>13.7</v>
      </c>
      <c r="K21" s="2" t="inlineStr">
        <is>
          <t>AliExpress</t>
        </is>
      </c>
      <c r="L21" s="2" t="inlineStr"/>
      <c r="M21" s="2" t="inlineStr">
        <is>
          <t>Pedido 'Ventosa 1'. Su parte de arriba (Ø19, planos a 17) entra en la punta de CB-606; el racor N03 la aprieta desde adentro. CAD: CB-618 (medida, Ø40 × 22)</t>
        </is>
      </c>
    </row>
    <row r="22">
      <c r="A22" s="2" t="inlineStr">
        <is>
          <t>N02</t>
        </is>
      </c>
      <c r="B22" s="2" t="inlineStr">
        <is>
          <t>Neumática</t>
        </is>
      </c>
      <c r="C22" s="2" t="inlineStr">
        <is>
          <t>Ventosa JXD SAF-40 (plana)</t>
        </is>
      </c>
      <c r="D22" s="2" t="inlineStr">
        <is>
          <t>Ø40, rosca hembra G1/4</t>
        </is>
      </c>
      <c r="E22" s="2" t="n">
        <v>1</v>
      </c>
      <c r="F22" s="2" t="inlineStr">
        <is>
          <t>u</t>
        </is>
      </c>
      <c r="G22" s="2" t="inlineStr">
        <is>
          <t>Alternativa para pruebas</t>
        </is>
      </c>
      <c r="H22" s="2" t="inlineStr">
        <is>
          <t>Compra grupal</t>
        </is>
      </c>
      <c r="I22" s="2" t="inlineStr">
        <is>
          <t>Pedido</t>
        </is>
      </c>
      <c r="J22" s="3" t="n">
        <v>14.02</v>
      </c>
      <c r="K22" s="2" t="inlineStr">
        <is>
          <t>AliExpress</t>
        </is>
      </c>
      <c r="L22" s="2" t="inlineStr"/>
      <c r="M22" s="2" t="inlineStr">
        <is>
          <t>Pedido 'Ventosa 2'. Si su parte de arriba no es igual a la de la N01, no entra en el alojamiento de CB-606</t>
        </is>
      </c>
    </row>
    <row r="23">
      <c r="A23" s="2" t="inlineStr">
        <is>
          <t>N03</t>
        </is>
      </c>
      <c r="B23" s="2" t="inlineStr">
        <is>
          <t>Neumática</t>
        </is>
      </c>
      <c r="C23" s="2" t="inlineStr">
        <is>
          <t>Racor recto push-in</t>
        </is>
      </c>
      <c r="D23" s="2" t="inlineStr">
        <is>
          <t>Recto, manguera 6 mm × rosca macho 1/4" BSP con junta tórica (0,9" de alto)</t>
        </is>
      </c>
      <c r="E23" s="2" t="n">
        <v>1</v>
      </c>
      <c r="F23" s="2" t="inlineStr">
        <is>
          <t>u</t>
        </is>
      </c>
      <c r="G23" s="2" t="inlineStr">
        <is>
          <t>Dentro del eje hueco de la torsión</t>
        </is>
      </c>
      <c r="H23" s="2" t="inlineStr">
        <is>
          <t>Compra grupal</t>
        </is>
      </c>
      <c r="I23" s="2" t="inlineStr">
        <is>
          <t>Pedido</t>
        </is>
      </c>
      <c r="J23" s="3" t="n">
        <v>7.25</v>
      </c>
      <c r="K23" s="2" t="inlineStr">
        <is>
          <t>AliExpress</t>
        </is>
      </c>
      <c r="L23" s="2" t="inlineStr"/>
      <c r="M23" s="2" t="inlineStr">
        <is>
          <t>Pedido 'Unión neumática'. CAD: CB-619; medir hexágono (≈ 14), anillo (≈ Ø16,5 × 1,8), cuello (≈ 3) y rosca (≈ 4,5) antes de imprimir CB-606 y CB-620</t>
        </is>
      </c>
    </row>
    <row r="24">
      <c r="A24" s="2" t="inlineStr">
        <is>
          <t>N04</t>
        </is>
      </c>
      <c r="B24" s="2" t="inlineStr">
        <is>
          <t>Neumática</t>
        </is>
      </c>
      <c r="C24" s="2" t="inlineStr">
        <is>
          <t>Manguera PU</t>
        </is>
      </c>
      <c r="D24" s="2" t="inlineStr">
        <is>
          <t>6 × 4 mm</t>
        </is>
      </c>
      <c r="E24" s="2" t="n">
        <v>2</v>
      </c>
      <c r="F24" s="2" t="inlineStr">
        <is>
          <t>m</t>
        </is>
      </c>
      <c r="G24" s="2" t="inlineStr">
        <is>
          <t>Ventosa a bomba</t>
        </is>
      </c>
      <c r="H24" s="2" t="inlineStr">
        <is>
          <t>Por comprar</t>
        </is>
      </c>
      <c r="I24" s="2" t="inlineStr">
        <is>
          <t>Falta</t>
        </is>
      </c>
      <c r="J24" s="3" t="n"/>
      <c r="K24" s="2" t="inlineStr"/>
      <c r="L24" s="2" t="inlineStr"/>
      <c r="M24" s="2" t="inlineStr">
        <is>
          <t>Largo según el recorrido final</t>
        </is>
      </c>
    </row>
    <row r="25">
      <c r="A25" s="2" t="inlineStr">
        <is>
          <t>N05</t>
        </is>
      </c>
      <c r="B25" s="2" t="inlineStr">
        <is>
          <t>Neumática</t>
        </is>
      </c>
      <c r="C25" s="2" t="inlineStr">
        <is>
          <t>Bomba de vacío 12 V</t>
        </is>
      </c>
      <c r="D25" s="2" t="inlineStr">
        <is>
          <t>Mini bomba de diafragma</t>
        </is>
      </c>
      <c r="E25" s="2" t="n">
        <v>1</v>
      </c>
      <c r="F25" s="2" t="inlineStr">
        <is>
          <t>u</t>
        </is>
      </c>
      <c r="G25" s="2" t="inlineStr">
        <is>
          <t>Generar el vacío</t>
        </is>
      </c>
      <c r="H25" s="2" t="inlineStr">
        <is>
          <t>Por definir</t>
        </is>
      </c>
      <c r="I25" s="2" t="inlineStr">
        <is>
          <t>Falta</t>
        </is>
      </c>
      <c r="J25" s="3" t="n"/>
      <c r="K25" s="2" t="inlineStr"/>
      <c r="L25" s="2" t="inlineStr"/>
      <c r="M25" s="2" t="inlineStr">
        <is>
          <t>No figura en ninguna lista. Dimensionar con entregas/entrega_06/analisis_torque_ventosa.md</t>
        </is>
      </c>
    </row>
    <row r="26">
      <c r="A26" s="2" t="inlineStr">
        <is>
          <t>N06</t>
        </is>
      </c>
      <c r="B26" s="2" t="inlineStr">
        <is>
          <t>Neumática</t>
        </is>
      </c>
      <c r="C26" s="2" t="inlineStr">
        <is>
          <t>Electroválvula 12 V</t>
        </is>
      </c>
      <c r="D26" s="2" t="inlineStr">
        <is>
          <t>2/2 o 3/2, normalmente cerrada</t>
        </is>
      </c>
      <c r="E26" s="2" t="n">
        <v>1</v>
      </c>
      <c r="F26" s="2" t="inlineStr">
        <is>
          <t>u</t>
        </is>
      </c>
      <c r="G26" s="2" t="inlineStr">
        <is>
          <t>Romper el vacío para soltar la naranja</t>
        </is>
      </c>
      <c r="H26" s="2" t="inlineStr">
        <is>
          <t>Por definir</t>
        </is>
      </c>
      <c r="I26" s="2" t="inlineStr">
        <is>
          <t>Falta</t>
        </is>
      </c>
      <c r="J26" s="3" t="n"/>
      <c r="K26" s="2" t="inlineStr"/>
      <c r="L26" s="2" t="inlineStr"/>
      <c r="M26" s="2" t="inlineStr"/>
    </row>
    <row r="27">
      <c r="A27" s="2" t="inlineStr">
        <is>
          <t>T01</t>
        </is>
      </c>
      <c r="B27" s="2" t="inlineStr">
        <is>
          <t>Transmisión</t>
        </is>
      </c>
      <c r="C27" s="2" t="inlineStr">
        <is>
          <t>Polea T5</t>
        </is>
      </c>
      <c r="D27" s="2" t="inlineStr">
        <is>
          <t>10 dientes, ancho 17 mm, agujero 6 mm, con prisionero</t>
        </is>
      </c>
      <c r="E27" s="2" t="n">
        <v>1</v>
      </c>
      <c r="F27" s="2" t="inlineStr">
        <is>
          <t>u</t>
        </is>
      </c>
      <c r="G27" s="2" t="inlineStr">
        <is>
          <t>Motor 37D de J1</t>
        </is>
      </c>
      <c r="H27" s="2" t="inlineStr">
        <is>
          <t>Por comprar</t>
        </is>
      </c>
      <c r="I27" s="2" t="inlineStr">
        <is>
          <t>Falta</t>
        </is>
      </c>
      <c r="J27" s="3" t="n"/>
      <c r="K27" s="2" t="inlineStr"/>
      <c r="L27" s="2" t="inlineStr"/>
      <c r="M27" s="2" t="inlineStr"/>
    </row>
    <row r="28">
      <c r="A28" s="2" t="inlineStr">
        <is>
          <t>T02</t>
        </is>
      </c>
      <c r="B28" s="2" t="inlineStr">
        <is>
          <t>Transmisión</t>
        </is>
      </c>
      <c r="C28" s="2" t="inlineStr">
        <is>
          <t>Correa T5 cerrada</t>
        </is>
      </c>
      <c r="D28" s="2" t="inlineStr">
        <is>
          <t>16 mm de ancho, 600 mm (120 dientes)</t>
        </is>
      </c>
      <c r="E28" s="2" t="n">
        <v>1</v>
      </c>
      <c r="F28" s="2" t="inlineStr">
        <is>
          <t>u</t>
        </is>
      </c>
      <c r="G28" s="2" t="inlineStr">
        <is>
          <t>J1, relación 10:1 con el plato 1M1B</t>
        </is>
      </c>
      <c r="H28" s="2" t="inlineStr">
        <is>
          <t>Por comprar</t>
        </is>
      </c>
      <c r="I28" s="2" t="inlineStr">
        <is>
          <t>Falta</t>
        </is>
      </c>
      <c r="J28" s="3" t="n"/>
      <c r="K28" s="2" t="inlineStr"/>
      <c r="L28" s="2" t="inlineStr"/>
      <c r="M28" s="2" t="inlineStr">
        <is>
          <t>Verificar largo con el montaje real</t>
        </is>
      </c>
    </row>
    <row r="29">
      <c r="A29" s="2" t="inlineStr">
        <is>
          <t>T03</t>
        </is>
      </c>
      <c r="B29" s="2" t="inlineStr">
        <is>
          <t>Transmisión</t>
        </is>
      </c>
      <c r="C29" s="2" t="inlineStr">
        <is>
          <t>Correa GT2 cerrada</t>
        </is>
      </c>
      <c r="D29" s="2" t="inlineStr">
        <is>
          <t>6 mm de ancho, 232 mm (116 dientes)</t>
        </is>
      </c>
      <c r="E29" s="2" t="n">
        <v>1</v>
      </c>
      <c r="F29" s="2" t="inlineStr">
        <is>
          <t>u</t>
        </is>
      </c>
      <c r="G29" s="2" t="inlineStr">
        <is>
          <t>Torsión de la herramienta (poleas impresas 66:66)</t>
        </is>
      </c>
      <c r="H29" s="2" t="inlineStr">
        <is>
          <t>Compra grupal</t>
        </is>
      </c>
      <c r="I29" s="2" t="inlineStr">
        <is>
          <t>Por confirmar</t>
        </is>
      </c>
      <c r="J29" s="3" t="n"/>
      <c r="K29" s="2" t="inlineStr"/>
      <c r="L29" s="2" t="inlineStr"/>
      <c r="M29" s="2" t="inlineStr">
        <is>
          <t>Puede venir en el 'Kit correa y polea' (T04)</t>
        </is>
      </c>
    </row>
    <row r="30">
      <c r="A30" s="2" t="inlineStr">
        <is>
          <t>T04</t>
        </is>
      </c>
      <c r="B30" s="2" t="inlineStr">
        <is>
          <t>Transmisión</t>
        </is>
      </c>
      <c r="C30" s="2" t="inlineStr">
        <is>
          <t>Kit correa GT2 y poleas</t>
        </is>
      </c>
      <c r="D30" s="2" t="inlineStr">
        <is>
          <t>Según pedido</t>
        </is>
      </c>
      <c r="E30" s="2" t="n">
        <v>1</v>
      </c>
      <c r="F30" s="2" t="inlineStr">
        <is>
          <t>u</t>
        </is>
      </c>
      <c r="G30" s="2" t="inlineStr">
        <is>
          <t>Torsión y/o riel</t>
        </is>
      </c>
      <c r="H30" s="2" t="inlineStr">
        <is>
          <t>Compra grupal</t>
        </is>
      </c>
      <c r="I30" s="2" t="inlineStr">
        <is>
          <t>Pedido</t>
        </is>
      </c>
      <c r="J30" s="3" t="n">
        <v>9.390000000000001</v>
      </c>
      <c r="K30" s="2" t="inlineStr">
        <is>
          <t>AliExpress</t>
        </is>
      </c>
      <c r="L30" s="2" t="inlineStr"/>
      <c r="M30" s="2" t="inlineStr">
        <is>
          <t>Anotar el contenido real del kit: puede cubrir la correa y las poleas de J3 (T07, T08, T09)</t>
        </is>
      </c>
    </row>
    <row r="31">
      <c r="A31" s="2" t="inlineStr">
        <is>
          <t>T05</t>
        </is>
      </c>
      <c r="B31" s="2" t="inlineStr">
        <is>
          <t>Transmisión</t>
        </is>
      </c>
      <c r="C31" s="2" t="inlineStr">
        <is>
          <t>Husillo T8 + tuerca de brida</t>
        </is>
      </c>
      <c r="D31" s="2" t="inlineStr">
        <is>
          <t>Ø8, avance 8 mm (4 entradas × paso 2), largo 400 mm</t>
        </is>
      </c>
      <c r="E31" s="2" t="n">
        <v>1</v>
      </c>
      <c r="F31" s="2" t="inlineStr">
        <is>
          <t>u</t>
        </is>
      </c>
      <c r="G31" s="2" t="inlineStr">
        <is>
          <t>No se usa desde la v7 (J3 con correa GT2): queda de repuesto</t>
        </is>
      </c>
      <c r="H31" s="2" t="inlineStr">
        <is>
          <t>Compra grupal</t>
        </is>
      </c>
      <c r="I31" s="2" t="inlineStr">
        <is>
          <t>Pedido</t>
        </is>
      </c>
      <c r="J31" s="3" t="n">
        <v>8.84</v>
      </c>
      <c r="K31" s="2" t="inlineStr">
        <is>
          <t>AliExpress</t>
        </is>
      </c>
      <c r="L31" s="2" t="inlineStr"/>
      <c r="M31" s="2" t="inlineStr">
        <is>
          <t>Ya pedido ('Rosca p/ Varilla'). Era el husillo de la v6 (CB-511 y CB-512, retirados del CAD)</t>
        </is>
      </c>
    </row>
    <row r="32">
      <c r="A32" s="2" t="inlineStr">
        <is>
          <t>T07</t>
        </is>
      </c>
      <c r="B32" s="2" t="inlineStr">
        <is>
          <t>Transmisión</t>
        </is>
      </c>
      <c r="C32" s="2" t="inlineStr">
        <is>
          <t>Polea GT2</t>
        </is>
      </c>
      <c r="D32" s="2" t="inlineStr">
        <is>
          <t>20 dientes, agujero 5 mm, correa de 6 mm, 2 prisioneros</t>
        </is>
      </c>
      <c r="E32" s="2" t="n">
        <v>1</v>
      </c>
      <c r="F32" s="2" t="inlineStr">
        <is>
          <t>u</t>
        </is>
      </c>
      <c r="G32" s="2" t="inlineStr">
        <is>
          <t>Eje del NEMA 17 de J3</t>
        </is>
      </c>
      <c r="H32" s="2" t="inlineStr">
        <is>
          <t>Por comprar</t>
        </is>
      </c>
      <c r="I32" s="2" t="inlineStr">
        <is>
          <t>Falta</t>
        </is>
      </c>
      <c r="J32" s="3" t="n"/>
      <c r="K32" s="2" t="inlineStr"/>
      <c r="L32" s="2" t="inlineStr"/>
      <c r="M32" s="2" t="inlineStr">
        <is>
          <t>CAD: HW_Polea_GT2_20T_D5. Puede venir en el kit T04</t>
        </is>
      </c>
    </row>
    <row r="33">
      <c r="A33" s="2" t="inlineStr">
        <is>
          <t>T08</t>
        </is>
      </c>
      <c r="B33" s="2" t="inlineStr">
        <is>
          <t>Transmisión</t>
        </is>
      </c>
      <c r="C33" s="2" t="inlineStr">
        <is>
          <t>Polea loca GT2 dentada</t>
        </is>
      </c>
      <c r="D33" s="2" t="inlineStr">
        <is>
          <t>20 dientes, agujero 5 mm, con rodamientos</t>
        </is>
      </c>
      <c r="E33" s="2" t="n">
        <v>1</v>
      </c>
      <c r="F33" s="2" t="inlineStr">
        <is>
          <t>u</t>
        </is>
      </c>
      <c r="G33" s="2" t="inlineStr">
        <is>
          <t>Punta de la cola de E2 (J3)</t>
        </is>
      </c>
      <c r="H33" s="2" t="inlineStr">
        <is>
          <t>Por comprar</t>
        </is>
      </c>
      <c r="I33" s="2" t="inlineStr">
        <is>
          <t>Falta</t>
        </is>
      </c>
      <c r="J33" s="3" t="n"/>
      <c r="K33" s="2" t="inlineStr"/>
      <c r="L33" s="2" t="inlineStr"/>
      <c r="M33" s="2" t="inlineStr">
        <is>
          <t>CAD: HW_Polea_Loca_GT2_20T_D5. Puede venir en el kit T04</t>
        </is>
      </c>
    </row>
    <row r="34">
      <c r="A34" s="2" t="inlineStr">
        <is>
          <t>T09</t>
        </is>
      </c>
      <c r="B34" s="2" t="inlineStr">
        <is>
          <t>Transmisión</t>
        </is>
      </c>
      <c r="C34" s="2" t="inlineStr">
        <is>
          <t>Correa GT2 abierta</t>
        </is>
      </c>
      <c r="D34" s="2" t="inlineStr">
        <is>
          <t>6 mm de ancho, 1 m</t>
        </is>
      </c>
      <c r="E34" s="2" t="n">
        <v>1</v>
      </c>
      <c r="F34" s="2" t="inlineStr">
        <is>
          <t>u</t>
        </is>
      </c>
      <c r="G34" s="2" t="inlineStr">
        <is>
          <t>J3 prismático (lazo de 810 mm, extremos en la pinza CB-403)</t>
        </is>
      </c>
      <c r="H34" s="2" t="inlineStr">
        <is>
          <t>Por comprar</t>
        </is>
      </c>
      <c r="I34" s="2" t="inlineStr">
        <is>
          <t>Falta</t>
        </is>
      </c>
      <c r="J34" s="3" t="n"/>
      <c r="K34" s="2" t="inlineStr"/>
      <c r="L34" s="2" t="inlineStr"/>
      <c r="M34" s="2" t="inlineStr">
        <is>
          <t>CAD: CB-514. Puede salir del kit T04</t>
        </is>
      </c>
    </row>
    <row r="35">
      <c r="A35" s="2" t="inlineStr">
        <is>
          <t>R01</t>
        </is>
      </c>
      <c r="B35" s="2" t="inlineStr">
        <is>
          <t>Rodamientos y bujes</t>
        </is>
      </c>
      <c r="C35" s="2" t="inlineStr">
        <is>
          <t>Rodamiento 625ZZ</t>
        </is>
      </c>
      <c r="D35" s="2" t="inlineStr">
        <is>
          <t>5 × 16 × 5 mm</t>
        </is>
      </c>
      <c r="E35" s="2" t="n">
        <v>8</v>
      </c>
      <c r="F35" s="2" t="inlineStr">
        <is>
          <t>u</t>
        </is>
      </c>
      <c r="G35" s="2" t="inlineStr">
        <is>
          <t>Rodillos de la lazy susan J1</t>
        </is>
      </c>
      <c r="H35" s="2" t="inlineStr">
        <is>
          <t>Por comprar</t>
        </is>
      </c>
      <c r="I35" s="2" t="inlineStr">
        <is>
          <t>Falta</t>
        </is>
      </c>
      <c r="J35" s="3" t="n"/>
      <c r="K35" s="2" t="inlineStr"/>
      <c r="L35" s="2" t="inlineStr"/>
      <c r="M35" s="2" t="inlineStr"/>
    </row>
    <row r="36">
      <c r="A36" s="2" t="inlineStr">
        <is>
          <t>R02</t>
        </is>
      </c>
      <c r="B36" s="2" t="inlineStr">
        <is>
          <t>Rodamientos y bujes</t>
        </is>
      </c>
      <c r="C36" s="2" t="inlineStr">
        <is>
          <t>Rodamiento 608ZZ</t>
        </is>
      </c>
      <c r="D36" s="2" t="inlineStr">
        <is>
          <t>8 × 22 × 7 mm</t>
        </is>
      </c>
      <c r="E36" s="2" t="n">
        <v>3</v>
      </c>
      <c r="F36" s="2" t="inlineStr">
        <is>
          <t>u</t>
        </is>
      </c>
      <c r="G36" s="2" t="inlineStr">
        <is>
          <t>2 eje central de J1, 1 pivote de la muñeca</t>
        </is>
      </c>
      <c r="H36" s="2" t="inlineStr">
        <is>
          <t>Por comprar</t>
        </is>
      </c>
      <c r="I36" s="2" t="inlineStr">
        <is>
          <t>Falta</t>
        </is>
      </c>
      <c r="J36" s="3" t="n"/>
      <c r="K36" s="2" t="inlineStr"/>
      <c r="L36" s="2" t="inlineStr"/>
      <c r="M36" s="2" t="inlineStr"/>
    </row>
    <row r="37">
      <c r="A37" s="2" t="inlineStr">
        <is>
          <t>R03</t>
        </is>
      </c>
      <c r="B37" s="2" t="inlineStr">
        <is>
          <t>Rodamientos y bujes</t>
        </is>
      </c>
      <c r="C37" s="2" t="inlineStr">
        <is>
          <t>Rodamiento 6806-ZZ</t>
        </is>
      </c>
      <c r="D37" s="2" t="inlineStr">
        <is>
          <t>30 × 42 × 7 mm</t>
        </is>
      </c>
      <c r="E37" s="2" t="n">
        <v>2</v>
      </c>
      <c r="F37" s="2" t="inlineStr">
        <is>
          <t>u</t>
        </is>
      </c>
      <c r="G37" s="2" t="inlineStr">
        <is>
          <t>Eje hueco de la torsión</t>
        </is>
      </c>
      <c r="H37" s="2" t="inlineStr">
        <is>
          <t>Compra grupal</t>
        </is>
      </c>
      <c r="I37" s="2" t="inlineStr">
        <is>
          <t>Pedido</t>
        </is>
      </c>
      <c r="J37" s="3" t="n">
        <v>5.43</v>
      </c>
      <c r="K37" s="2" t="inlineStr">
        <is>
          <t>AliExpress</t>
        </is>
      </c>
      <c r="L37" s="2" t="inlineStr"/>
      <c r="M37" s="2" t="inlineStr">
        <is>
          <t>Pedido 'Rodamientos': confirmar que son estos</t>
        </is>
      </c>
    </row>
    <row r="38">
      <c r="A38" s="2" t="inlineStr">
        <is>
          <t>R04</t>
        </is>
      </c>
      <c r="B38" s="2" t="inlineStr">
        <is>
          <t>Rodamientos y bujes</t>
        </is>
      </c>
      <c r="C38" s="2" t="inlineStr">
        <is>
          <t>Buje autolubricado (bronce sinterizado)</t>
        </is>
      </c>
      <c r="D38" s="2" t="inlineStr">
        <is>
          <t>5 × 8 × 10 mm</t>
        </is>
      </c>
      <c r="E38" s="2" t="n">
        <v>8</v>
      </c>
      <c r="F38" s="2" t="inlineStr">
        <is>
          <t>u</t>
        </is>
      </c>
      <c r="G38" s="2" t="inlineStr">
        <is>
          <t>Rodillos de la lazy susan</t>
        </is>
      </c>
      <c r="H38" s="2" t="inlineStr">
        <is>
          <t>Por comprar</t>
        </is>
      </c>
      <c r="I38" s="2" t="inlineStr">
        <is>
          <t>Falta</t>
        </is>
      </c>
      <c r="J38" s="3" t="n"/>
      <c r="K38" s="2" t="inlineStr"/>
      <c r="L38" s="2" t="inlineStr"/>
      <c r="M38" s="2" t="inlineStr"/>
    </row>
    <row r="39">
      <c r="A39" s="2" t="inlineStr">
        <is>
          <t>R05</t>
        </is>
      </c>
      <c r="B39" s="2" t="inlineStr">
        <is>
          <t>Rodamientos y bujes</t>
        </is>
      </c>
      <c r="C39" s="2" t="inlineStr">
        <is>
          <t>Buje autolubricado (bronce sinterizado)</t>
        </is>
      </c>
      <c r="D39" s="2" t="inlineStr">
        <is>
          <t>8 × 12 × 20 mm</t>
        </is>
      </c>
      <c r="E39" s="2" t="n">
        <v>2</v>
      </c>
      <c r="F39" s="2" t="inlineStr">
        <is>
          <t>u</t>
        </is>
      </c>
      <c r="G39" s="2" t="inlineStr">
        <is>
          <t>Eje central de J1</t>
        </is>
      </c>
      <c r="H39" s="2" t="inlineStr">
        <is>
          <t>Por comprar</t>
        </is>
      </c>
      <c r="I39" s="2" t="inlineStr">
        <is>
          <t>Falta</t>
        </is>
      </c>
      <c r="J39" s="3" t="n"/>
      <c r="K39" s="2" t="inlineStr"/>
      <c r="L39" s="2" t="inlineStr"/>
      <c r="M39" s="2" t="inlineStr"/>
    </row>
    <row r="40">
      <c r="A40" s="2" t="inlineStr">
        <is>
          <t>L01</t>
        </is>
      </c>
      <c r="B40" s="2" t="inlineStr">
        <is>
          <t>Riel J0</t>
        </is>
      </c>
      <c r="C40" s="2" t="inlineStr">
        <is>
          <t>Estructura del riel</t>
        </is>
      </c>
      <c r="D40" s="2" t="inlineStr">
        <is>
          <t>1,2 m (perfil de aluminio o 2 varillas lisas)</t>
        </is>
      </c>
      <c r="E40" s="2" t="n">
        <v>1</v>
      </c>
      <c r="F40" s="2" t="inlineStr">
        <is>
          <t>u</t>
        </is>
      </c>
      <c r="G40" s="2" t="inlineStr">
        <is>
          <t>Desplazamiento lineal de la base</t>
        </is>
      </c>
      <c r="H40" s="2" t="inlineStr">
        <is>
          <t>Por definir</t>
        </is>
      </c>
      <c r="I40" s="2" t="inlineStr">
        <is>
          <t>Falta</t>
        </is>
      </c>
      <c r="J40" s="3" t="n"/>
      <c r="K40" s="2" t="inlineStr"/>
      <c r="L40" s="2" t="inlineStr"/>
      <c r="M40" s="2" t="inlineStr">
        <is>
          <t>Riel todavía sin diseñar</t>
        </is>
      </c>
    </row>
    <row r="41">
      <c r="A41" s="2" t="inlineStr">
        <is>
          <t>L02</t>
        </is>
      </c>
      <c r="B41" s="2" t="inlineStr">
        <is>
          <t>Riel J0</t>
        </is>
      </c>
      <c r="C41" s="2" t="inlineStr">
        <is>
          <t>Carro del riel</t>
        </is>
      </c>
      <c r="D41" s="2" t="inlineStr">
        <is>
          <t>Patines o rodamientos lineales</t>
        </is>
      </c>
      <c r="E41" s="2" t="n">
        <v>1</v>
      </c>
      <c r="F41" s="2" t="inlineStr">
        <is>
          <t>u</t>
        </is>
      </c>
      <c r="G41" s="2" t="inlineStr">
        <is>
          <t>Lleva la base del brazo</t>
        </is>
      </c>
      <c r="H41" s="2" t="inlineStr">
        <is>
          <t>Por definir</t>
        </is>
      </c>
      <c r="I41" s="2" t="inlineStr">
        <is>
          <t>Falta</t>
        </is>
      </c>
      <c r="J41" s="3" t="n"/>
      <c r="K41" s="2" t="inlineStr"/>
      <c r="L41" s="2" t="inlineStr"/>
      <c r="M41" s="2" t="inlineStr"/>
    </row>
    <row r="42">
      <c r="A42" s="2" t="inlineStr">
        <is>
          <t>L03</t>
        </is>
      </c>
      <c r="B42" s="2" t="inlineStr">
        <is>
          <t>Riel J0</t>
        </is>
      </c>
      <c r="C42" s="2" t="inlineStr">
        <is>
          <t>Correa GT2 abierta + poleas</t>
        </is>
      </c>
      <c r="D42" s="2" t="inlineStr">
        <is>
          <t>≈ 2,6 m, polea 20 dientes + polea tensora</t>
        </is>
      </c>
      <c r="E42" s="2" t="n">
        <v>1</v>
      </c>
      <c r="F42" s="2" t="inlineStr">
        <is>
          <t>u</t>
        </is>
      </c>
      <c r="G42" s="2" t="inlineStr">
        <is>
          <t>Transmisión del riel</t>
        </is>
      </c>
      <c r="H42" s="2" t="inlineStr">
        <is>
          <t>Por definir</t>
        </is>
      </c>
      <c r="I42" s="2" t="inlineStr">
        <is>
          <t>Falta</t>
        </is>
      </c>
      <c r="J42" s="3" t="n"/>
      <c r="K42" s="2" t="inlineStr"/>
      <c r="L42" s="2" t="inlineStr"/>
      <c r="M42" s="2" t="inlineStr">
        <is>
          <t>Revisar si el kit T04 la cubre</t>
        </is>
      </c>
    </row>
    <row r="43">
      <c r="A43" s="2" t="inlineStr">
        <is>
          <t>A01</t>
        </is>
      </c>
      <c r="B43" s="2" t="inlineStr">
        <is>
          <t>Alimentación y cableado</t>
        </is>
      </c>
      <c r="C43" s="2" t="inlineStr">
        <is>
          <t>Fuente 12 V DC</t>
        </is>
      </c>
      <c r="D43" s="2" t="inlineStr">
        <is>
          <t>Corriente a dimensionar (≥ 10 A estimado)</t>
        </is>
      </c>
      <c r="E43" s="2" t="n">
        <v>1</v>
      </c>
      <c r="F43" s="2" t="inlineStr">
        <is>
          <t>u</t>
        </is>
      </c>
      <c r="G43" s="2" t="inlineStr">
        <is>
          <t>Motores DC, paso a paso y bomba</t>
        </is>
      </c>
      <c r="H43" s="2" t="inlineStr">
        <is>
          <t>Por definir</t>
        </is>
      </c>
      <c r="I43" s="2" t="inlineStr">
        <is>
          <t>Falta</t>
        </is>
      </c>
      <c r="J43" s="3" t="n"/>
      <c r="K43" s="2" t="inlineStr"/>
      <c r="L43" s="2" t="inlineStr"/>
      <c r="M43" s="2" t="inlineStr">
        <is>
          <t>Sumar corriente de bloqueo de 37D + 5840 + paso a paso + bomba</t>
        </is>
      </c>
    </row>
    <row r="44">
      <c r="A44" s="2" t="inlineStr">
        <is>
          <t>A02</t>
        </is>
      </c>
      <c r="B44" s="2" t="inlineStr">
        <is>
          <t>Alimentación y cableado</t>
        </is>
      </c>
      <c r="C44" s="2" t="inlineStr">
        <is>
          <t>Regulador UBEC 6 V</t>
        </is>
      </c>
      <c r="D44" s="2" t="inlineStr">
        <is>
          <t>≥ 5 A</t>
        </is>
      </c>
      <c r="E44" s="2" t="n">
        <v>1</v>
      </c>
      <c r="F44" s="2" t="inlineStr">
        <is>
          <t>u</t>
        </is>
      </c>
      <c r="G44" s="2" t="inlineStr">
        <is>
          <t>Servos MG996R</t>
        </is>
      </c>
      <c r="H44" s="2" t="inlineStr">
        <is>
          <t>Por comprar</t>
        </is>
      </c>
      <c r="I44" s="2" t="inlineStr">
        <is>
          <t>Falta</t>
        </is>
      </c>
      <c r="J44" s="3" t="n"/>
      <c r="K44" s="2" t="inlineStr"/>
      <c r="L44" s="2" t="inlineStr"/>
      <c r="M44" s="2" t="inlineStr">
        <is>
          <t>No alimentar los servos desde el 5 V del MEGA</t>
        </is>
      </c>
    </row>
    <row r="45">
      <c r="A45" s="2" t="inlineStr">
        <is>
          <t>A03</t>
        </is>
      </c>
      <c r="B45" s="2" t="inlineStr">
        <is>
          <t>Alimentación y cableado</t>
        </is>
      </c>
      <c r="C45" s="2" t="inlineStr">
        <is>
          <t>Parada de emergencia + fusible</t>
        </is>
      </c>
      <c r="D45" s="2" t="inlineStr">
        <is>
          <t>Pulsador hongo NC, portafusible</t>
        </is>
      </c>
      <c r="E45" s="2" t="n">
        <v>1</v>
      </c>
      <c r="F45" s="2" t="inlineStr">
        <is>
          <t>u</t>
        </is>
      </c>
      <c r="G45" s="2" t="inlineStr">
        <is>
          <t>Seguridad: corta la potencia de motores</t>
        </is>
      </c>
      <c r="H45" s="2" t="inlineStr">
        <is>
          <t>Por comprar</t>
        </is>
      </c>
      <c r="I45" s="2" t="inlineStr">
        <is>
          <t>Falta</t>
        </is>
      </c>
      <c r="J45" s="3" t="n"/>
      <c r="K45" s="2" t="inlineStr"/>
      <c r="L45" s="2" t="inlineStr"/>
      <c r="M45" s="2" t="inlineStr"/>
    </row>
    <row r="46">
      <c r="A46" s="2" t="inlineStr">
        <is>
          <t>A04</t>
        </is>
      </c>
      <c r="B46" s="2" t="inlineStr">
        <is>
          <t>Alimentación y cableado</t>
        </is>
      </c>
      <c r="C46" s="2" t="inlineStr">
        <is>
          <t>Cables, borneras y conectores</t>
        </is>
      </c>
      <c r="D46" s="2" t="inlineStr">
        <is>
          <t>Dupont, JST, termocontraíble</t>
        </is>
      </c>
      <c r="E46" s="2" t="n">
        <v>1</v>
      </c>
      <c r="F46" s="2" t="inlineStr">
        <is>
          <t>lote</t>
        </is>
      </c>
      <c r="G46" s="2" t="inlineStr">
        <is>
          <t>Cableado general</t>
        </is>
      </c>
      <c r="H46" s="2" t="inlineStr">
        <is>
          <t>Por comprar</t>
        </is>
      </c>
      <c r="I46" s="2" t="inlineStr">
        <is>
          <t>Falta</t>
        </is>
      </c>
      <c r="J46" s="3" t="n"/>
      <c r="K46" s="2" t="inlineStr"/>
      <c r="L46" s="2" t="inlineStr"/>
      <c r="M46" s="2" t="inlineStr"/>
    </row>
    <row r="47">
      <c r="A47" s="2" t="inlineStr">
        <is>
          <t>H01</t>
        </is>
      </c>
      <c r="B47" s="2" t="inlineStr">
        <is>
          <t>Tornillería</t>
        </is>
      </c>
      <c r="C47" s="2" t="inlineStr">
        <is>
          <t>Tornillo M3 × 6 Allen</t>
        </is>
      </c>
      <c r="D47" s="2" t="inlineStr">
        <is>
          <t>DIN 912</t>
        </is>
      </c>
      <c r="E47" s="2" t="n">
        <v>8</v>
      </c>
      <c r="F47" s="2" t="inlineStr">
        <is>
          <t>u</t>
        </is>
      </c>
      <c r="G47" s="2" t="inlineStr">
        <is>
          <t>4 NEMA 17 → placa CB-306 · 4 AS5600 → tapa de E2</t>
        </is>
      </c>
      <c r="H47" s="2" t="inlineStr">
        <is>
          <t>Por comprar</t>
        </is>
      </c>
      <c r="I47" s="2" t="inlineStr">
        <is>
          <t>Falta</t>
        </is>
      </c>
      <c r="J47" s="3" t="n"/>
      <c r="K47" s="2" t="inlineStr"/>
      <c r="L47" s="2" t="inlineStr"/>
      <c r="M47" s="2" t="inlineStr"/>
    </row>
    <row r="48">
      <c r="A48" s="2" t="inlineStr">
        <is>
          <t>H02</t>
        </is>
      </c>
      <c r="B48" s="2" t="inlineStr">
        <is>
          <t>Tornillería</t>
        </is>
      </c>
      <c r="C48" s="2" t="inlineStr">
        <is>
          <t>Tornillo M3 × 8</t>
        </is>
      </c>
      <c r="D48" s="2" t="inlineStr"/>
      <c r="E48" s="2" t="n">
        <v>21</v>
      </c>
      <c r="F48" s="2" t="inlineStr">
        <is>
          <t>u</t>
        </is>
      </c>
      <c r="G48" s="2" t="inlineStr">
        <is>
          <t>6 motor 37D → soporte · 5 Arduino MEGA → bandeja · 2 anillo del eje hueco · 8 horns metálicos</t>
        </is>
      </c>
      <c r="H48" s="2" t="inlineStr">
        <is>
          <t>Por comprar</t>
        </is>
      </c>
      <c r="I48" s="2" t="inlineStr">
        <is>
          <t>Falta</t>
        </is>
      </c>
      <c r="J48" s="3" t="n"/>
      <c r="K48" s="2" t="inlineStr"/>
      <c r="L48" s="2" t="inlineStr"/>
      <c r="M48" s="2" t="inlineStr"/>
    </row>
    <row r="49">
      <c r="A49" s="2" t="inlineStr">
        <is>
          <t>H03</t>
        </is>
      </c>
      <c r="B49" s="2" t="inlineStr">
        <is>
          <t>Tornillería</t>
        </is>
      </c>
      <c r="C49" s="2" t="inlineStr">
        <is>
          <t>Tornillo M3 × 10</t>
        </is>
      </c>
      <c r="D49" s="2" t="inlineStr"/>
      <c r="E49" s="2" t="n">
        <v>21</v>
      </c>
      <c r="F49" s="2" t="inlineStr">
        <is>
          <t>u</t>
        </is>
      </c>
      <c r="G49" s="2" t="inlineStr">
        <is>
          <t>3 tapa de E2 → E2 · 4 Sabertooth → bandeja · 8 pestañas de los servos · 2 porta-servo · 4 placa CB-306 → insertos de E2</t>
        </is>
      </c>
      <c r="H49" s="2" t="inlineStr">
        <is>
          <t>Por comprar</t>
        </is>
      </c>
      <c r="I49" s="2" t="inlineStr">
        <is>
          <t>Falta</t>
        </is>
      </c>
      <c r="J49" s="3" t="n"/>
      <c r="K49" s="2" t="inlineStr"/>
      <c r="L49" s="2" t="inlineStr"/>
      <c r="M49" s="2" t="inlineStr"/>
    </row>
    <row r="50">
      <c r="A50" s="2" t="inlineStr">
        <is>
          <t>H04</t>
        </is>
      </c>
      <c r="B50" s="2" t="inlineStr">
        <is>
          <t>Tornillería</t>
        </is>
      </c>
      <c r="C50" s="2" t="inlineStr">
        <is>
          <t>Tornillo M3 × 12</t>
        </is>
      </c>
      <c r="D50" s="2" t="inlineStr"/>
      <c r="E50" s="2" t="n">
        <v>8</v>
      </c>
      <c r="F50" s="2" t="inlineStr">
        <is>
          <t>u</t>
        </is>
      </c>
      <c r="G50" s="2" t="inlineStr">
        <is>
          <t>4 tapa de la caja de torsión · 4 base del soporte estéreo CB-156 → adaptador CB-154</t>
        </is>
      </c>
      <c r="H50" s="2" t="inlineStr">
        <is>
          <t>Por comprar</t>
        </is>
      </c>
      <c r="I50" s="2" t="inlineStr">
        <is>
          <t>Falta</t>
        </is>
      </c>
      <c r="J50" s="3" t="n"/>
      <c r="K50" s="2" t="inlineStr"/>
      <c r="L50" s="2" t="inlineStr"/>
      <c r="M50" s="2" t="inlineStr"/>
    </row>
    <row r="51">
      <c r="A51" s="2" t="inlineStr">
        <is>
          <t>H05</t>
        </is>
      </c>
      <c r="B51" s="2" t="inlineStr">
        <is>
          <t>Tornillería</t>
        </is>
      </c>
      <c r="C51" s="2" t="inlineStr">
        <is>
          <t>Tornillo M4 × 30</t>
        </is>
      </c>
      <c r="D51" s="2" t="inlineStr"/>
      <c r="E51" s="2" t="n">
        <v>10</v>
      </c>
      <c r="F51" s="2" t="inlineStr">
        <is>
          <t>u</t>
        </is>
      </c>
      <c r="G51" s="2" t="inlineStr">
        <is>
          <t>4 soporte motor J1 → tablero · 2 soporte del imán → torre · 4 bandeja → tablero</t>
        </is>
      </c>
      <c r="H51" s="2" t="inlineStr">
        <is>
          <t>Por comprar</t>
        </is>
      </c>
      <c r="I51" s="2" t="inlineStr">
        <is>
          <t>Falta</t>
        </is>
      </c>
      <c r="J51" s="3" t="n"/>
      <c r="K51" s="2" t="inlineStr"/>
      <c r="L51" s="2" t="inlineStr"/>
      <c r="M51" s="2" t="inlineStr"/>
    </row>
    <row r="52">
      <c r="A52" s="2" t="inlineStr">
        <is>
          <t>H06</t>
        </is>
      </c>
      <c r="B52" s="2" t="inlineStr">
        <is>
          <t>Tornillería</t>
        </is>
      </c>
      <c r="C52" s="2" t="inlineStr">
        <is>
          <t>Tornillo M4 × 40</t>
        </is>
      </c>
      <c r="D52" s="2" t="inlineStr"/>
      <c r="E52" s="2" t="n">
        <v>4</v>
      </c>
      <c r="F52" s="2" t="inlineStr">
        <is>
          <t>u</t>
        </is>
      </c>
      <c r="G52" s="2" t="inlineStr">
        <is>
          <t>Placa fija 1M2A → tablero</t>
        </is>
      </c>
      <c r="H52" s="2" t="inlineStr">
        <is>
          <t>Por comprar</t>
        </is>
      </c>
      <c r="I52" s="2" t="inlineStr">
        <is>
          <t>Falta</t>
        </is>
      </c>
      <c r="J52" s="3" t="n"/>
      <c r="K52" s="2" t="inlineStr"/>
      <c r="L52" s="2" t="inlineStr"/>
      <c r="M52" s="2" t="inlineStr"/>
    </row>
    <row r="53">
      <c r="A53" s="2" t="inlineStr">
        <is>
          <t>H07</t>
        </is>
      </c>
      <c r="B53" s="2" t="inlineStr">
        <is>
          <t>Tornillería</t>
        </is>
      </c>
      <c r="C53" s="2" t="inlineStr">
        <is>
          <t>Tornillo M4 × 45</t>
        </is>
      </c>
      <c r="D53" s="2" t="inlineStr"/>
      <c r="E53" s="2" t="n">
        <v>6</v>
      </c>
      <c r="F53" s="2" t="inlineStr">
        <is>
          <t>u</t>
        </is>
      </c>
      <c r="G53" s="2" t="inlineStr">
        <is>
          <t>Torre 2M1D → plato 1M1B</t>
        </is>
      </c>
      <c r="H53" s="2" t="inlineStr">
        <is>
          <t>Por comprar</t>
        </is>
      </c>
      <c r="I53" s="2" t="inlineStr">
        <is>
          <t>Falta</t>
        </is>
      </c>
      <c r="J53" s="3" t="n"/>
      <c r="K53" s="2" t="inlineStr"/>
      <c r="L53" s="2" t="inlineStr"/>
      <c r="M53" s="2" t="inlineStr"/>
    </row>
    <row r="54">
      <c r="A54" s="2" t="inlineStr">
        <is>
          <t>H08</t>
        </is>
      </c>
      <c r="B54" s="2" t="inlineStr">
        <is>
          <t>Tornillería</t>
        </is>
      </c>
      <c r="C54" s="2" t="inlineStr">
        <is>
          <t>Tornillo M5 × 20</t>
        </is>
      </c>
      <c r="D54" s="2" t="inlineStr"/>
      <c r="E54" s="2" t="n">
        <v>8</v>
      </c>
      <c r="F54" s="2" t="inlineStr">
        <is>
          <t>u</t>
        </is>
      </c>
      <c r="G54" s="2" t="inlineStr">
        <is>
          <t>Ejes de los rodillos</t>
        </is>
      </c>
      <c r="H54" s="2" t="inlineStr">
        <is>
          <t>Por comprar</t>
        </is>
      </c>
      <c r="I54" s="2" t="inlineStr">
        <is>
          <t>Falta</t>
        </is>
      </c>
      <c r="J54" s="3" t="n"/>
      <c r="K54" s="2" t="inlineStr"/>
      <c r="L54" s="2" t="inlineStr"/>
      <c r="M54" s="2" t="inlineStr"/>
    </row>
    <row r="55">
      <c r="A55" s="2" t="inlineStr">
        <is>
          <t>H09</t>
        </is>
      </c>
      <c r="B55" s="2" t="inlineStr">
        <is>
          <t>Tornillería</t>
        </is>
      </c>
      <c r="C55" s="2" t="inlineStr">
        <is>
          <t>Tornillo M5 × 30</t>
        </is>
      </c>
      <c r="D55" s="2" t="inlineStr"/>
      <c r="E55" s="2" t="n">
        <v>5</v>
      </c>
      <c r="F55" s="2" t="inlineStr">
        <is>
          <t>u</t>
        </is>
      </c>
      <c r="G55" s="2" t="inlineStr">
        <is>
          <t>4 patas → tablero · 1 pivote de la barra estéreo (CB-153/154)</t>
        </is>
      </c>
      <c r="H55" s="2" t="inlineStr">
        <is>
          <t>Por comprar</t>
        </is>
      </c>
      <c r="I55" s="2" t="inlineStr">
        <is>
          <t>Falta</t>
        </is>
      </c>
      <c r="J55" s="3" t="n"/>
      <c r="K55" s="2" t="inlineStr"/>
      <c r="L55" s="2" t="inlineStr"/>
      <c r="M55" s="2" t="inlineStr"/>
    </row>
    <row r="56">
      <c r="A56" s="2" t="inlineStr">
        <is>
          <t>H10</t>
        </is>
      </c>
      <c r="B56" s="2" t="inlineStr">
        <is>
          <t>Tornillería</t>
        </is>
      </c>
      <c r="C56" s="2" t="inlineStr">
        <is>
          <t>Tornillo M5 × 25</t>
        </is>
      </c>
      <c r="D56" s="2" t="inlineStr"/>
      <c r="E56" s="2" t="n">
        <v>4</v>
      </c>
      <c r="F56" s="2" t="inlineStr">
        <is>
          <t>u</t>
        </is>
      </c>
      <c r="G56" s="2" t="inlineStr">
        <is>
          <t>Horquilla → brida de E3</t>
        </is>
      </c>
      <c r="H56" s="2" t="inlineStr">
        <is>
          <t>Por comprar</t>
        </is>
      </c>
      <c r="I56" s="2" t="inlineStr">
        <is>
          <t>Falta</t>
        </is>
      </c>
      <c r="J56" s="3" t="n"/>
      <c r="K56" s="2" t="inlineStr"/>
      <c r="L56" s="2" t="inlineStr"/>
      <c r="M56" s="2" t="inlineStr">
        <is>
          <t>No modelado: brida de 10 mm + placa de la horquilla de 8 mm + tuerca</t>
        </is>
      </c>
    </row>
    <row r="57">
      <c r="A57" s="2" t="inlineStr">
        <is>
          <t>H11</t>
        </is>
      </c>
      <c r="B57" s="2" t="inlineStr">
        <is>
          <t>Tornillería</t>
        </is>
      </c>
      <c r="C57" s="2" t="inlineStr">
        <is>
          <t>Tornillo M4 × 10 Allen</t>
        </is>
      </c>
      <c r="D57" s="2" t="inlineStr">
        <is>
          <t>DIN 912</t>
        </is>
      </c>
      <c r="E57" s="2" t="n">
        <v>2</v>
      </c>
      <c r="F57" s="2" t="inlineStr">
        <is>
          <t>u</t>
        </is>
      </c>
      <c r="G57" s="2" t="inlineStr">
        <is>
          <t>Motor 5840 → torre (rosca M4 prof. 6 del motor)</t>
        </is>
      </c>
      <c r="H57" s="2" t="inlineStr">
        <is>
          <t>Por comprar</t>
        </is>
      </c>
      <c r="I57" s="2" t="inlineStr">
        <is>
          <t>Falta</t>
        </is>
      </c>
      <c r="J57" s="3" t="n"/>
      <c r="K57" s="2" t="inlineStr"/>
      <c r="L57" s="2" t="inlineStr"/>
      <c r="M57" s="2" t="inlineStr"/>
    </row>
    <row r="58">
      <c r="A58" s="2" t="inlineStr">
        <is>
          <t>H12</t>
        </is>
      </c>
      <c r="B58" s="2" t="inlineStr">
        <is>
          <t>Tornillería</t>
        </is>
      </c>
      <c r="C58" s="2" t="inlineStr">
        <is>
          <t>Tornillo M8 × 25</t>
        </is>
      </c>
      <c r="D58" s="2" t="inlineStr"/>
      <c r="E58" s="2" t="n">
        <v>1</v>
      </c>
      <c r="F58" s="2" t="inlineStr">
        <is>
          <t>u</t>
        </is>
      </c>
      <c r="G58" s="2" t="inlineStr">
        <is>
          <t>Pivote libre de la muñeca</t>
        </is>
      </c>
      <c r="H58" s="2" t="inlineStr">
        <is>
          <t>Por comprar</t>
        </is>
      </c>
      <c r="I58" s="2" t="inlineStr">
        <is>
          <t>Falta</t>
        </is>
      </c>
      <c r="J58" s="3" t="n"/>
      <c r="K58" s="2" t="inlineStr"/>
      <c r="L58" s="2" t="inlineStr"/>
      <c r="M58" s="2" t="inlineStr">
        <is>
          <t>No modelado</t>
        </is>
      </c>
    </row>
    <row r="59">
      <c r="A59" s="2" t="inlineStr">
        <is>
          <t>H13</t>
        </is>
      </c>
      <c r="B59" s="2" t="inlineStr">
        <is>
          <t>Tornillería</t>
        </is>
      </c>
      <c r="C59" s="2" t="inlineStr">
        <is>
          <t>Tornillo M8 × 65 hexagonal</t>
        </is>
      </c>
      <c r="D59" s="2" t="inlineStr"/>
      <c r="E59" s="2" t="n">
        <v>1</v>
      </c>
      <c r="F59" s="2" t="inlineStr">
        <is>
          <t>u</t>
        </is>
      </c>
      <c r="G59" s="2" t="inlineStr">
        <is>
          <t>Eje central de J1</t>
        </is>
      </c>
      <c r="H59" s="2" t="inlineStr">
        <is>
          <t>Por comprar</t>
        </is>
      </c>
      <c r="I59" s="2" t="inlineStr">
        <is>
          <t>Falta</t>
        </is>
      </c>
      <c r="J59" s="3" t="n"/>
      <c r="K59" s="2" t="inlineStr"/>
      <c r="L59" s="2" t="inlineStr"/>
      <c r="M59" s="2" t="inlineStr"/>
    </row>
    <row r="60">
      <c r="A60" s="2" t="inlineStr">
        <is>
          <t>H14</t>
        </is>
      </c>
      <c r="B60" s="2" t="inlineStr">
        <is>
          <t>Tornillería</t>
        </is>
      </c>
      <c r="C60" s="2" t="inlineStr">
        <is>
          <t>Tuerca M4 autoblocante</t>
        </is>
      </c>
      <c r="D60" s="2" t="inlineStr"/>
      <c r="E60" s="2" t="n">
        <v>18</v>
      </c>
      <c r="F60" s="2" t="inlineStr">
        <is>
          <t>u</t>
        </is>
      </c>
      <c r="G60" s="2" t="inlineStr">
        <is>
          <t>6 torre/plato · 4 placa 1M2A · 4 soporte J1 · 4 bandeja</t>
        </is>
      </c>
      <c r="H60" s="2" t="inlineStr">
        <is>
          <t>Por comprar</t>
        </is>
      </c>
      <c r="I60" s="2" t="inlineStr">
        <is>
          <t>Falta</t>
        </is>
      </c>
      <c r="J60" s="3" t="n"/>
      <c r="K60" s="2" t="inlineStr"/>
      <c r="L60" s="2" t="inlineStr"/>
      <c r="M60" s="2" t="inlineStr"/>
    </row>
    <row r="61">
      <c r="A61" s="2" t="inlineStr">
        <is>
          <t>H15</t>
        </is>
      </c>
      <c r="B61" s="2" t="inlineStr">
        <is>
          <t>Tornillería</t>
        </is>
      </c>
      <c r="C61" s="2" t="inlineStr">
        <is>
          <t>Tuerca M4</t>
        </is>
      </c>
      <c r="D61" s="2" t="inlineStr"/>
      <c r="E61" s="2" t="n">
        <v>2</v>
      </c>
      <c r="F61" s="2" t="inlineStr">
        <is>
          <t>u</t>
        </is>
      </c>
      <c r="G61" s="2" t="inlineStr">
        <is>
          <t>Soporte del imán (dentro de la torre)</t>
        </is>
      </c>
      <c r="H61" s="2" t="inlineStr">
        <is>
          <t>Por comprar</t>
        </is>
      </c>
      <c r="I61" s="2" t="inlineStr">
        <is>
          <t>Falta</t>
        </is>
      </c>
      <c r="J61" s="3" t="n"/>
      <c r="K61" s="2" t="inlineStr"/>
      <c r="L61" s="2" t="inlineStr"/>
      <c r="M61" s="2" t="inlineStr"/>
    </row>
    <row r="62">
      <c r="A62" s="2" t="inlineStr">
        <is>
          <t>H16</t>
        </is>
      </c>
      <c r="B62" s="2" t="inlineStr">
        <is>
          <t>Tornillería</t>
        </is>
      </c>
      <c r="C62" s="2" t="inlineStr">
        <is>
          <t>Tuerca M5 autoblocante</t>
        </is>
      </c>
      <c r="D62" s="2" t="inlineStr"/>
      <c r="E62" s="2" t="n">
        <v>18</v>
      </c>
      <c r="F62" s="2" t="inlineStr">
        <is>
          <t>u</t>
        </is>
      </c>
      <c r="G62" s="2" t="inlineStr">
        <is>
          <t>8 rodillos · 4 patas · 4 horquilla → brida de E3 · 1 eje de la polea loca de J3 · 1 pivote de la barra estéreo</t>
        </is>
      </c>
      <c r="H62" s="2" t="inlineStr">
        <is>
          <t>Por comprar</t>
        </is>
      </c>
      <c r="I62" s="2" t="inlineStr">
        <is>
          <t>Falta</t>
        </is>
      </c>
      <c r="J62" s="3" t="n"/>
      <c r="K62" s="2" t="inlineStr"/>
      <c r="L62" s="2" t="inlineStr"/>
      <c r="M62" s="2" t="inlineStr"/>
    </row>
    <row r="63">
      <c r="A63" s="2" t="inlineStr">
        <is>
          <t>H17</t>
        </is>
      </c>
      <c r="B63" s="2" t="inlineStr">
        <is>
          <t>Tornillería</t>
        </is>
      </c>
      <c r="C63" s="2" t="inlineStr">
        <is>
          <t>Tuerca M8 autoblocante</t>
        </is>
      </c>
      <c r="D63" s="2" t="inlineStr"/>
      <c r="E63" s="2" t="n">
        <v>1</v>
      </c>
      <c r="F63" s="2" t="inlineStr">
        <is>
          <t>u</t>
        </is>
      </c>
      <c r="G63" s="2" t="inlineStr">
        <is>
          <t>Eje central de J1</t>
        </is>
      </c>
      <c r="H63" s="2" t="inlineStr">
        <is>
          <t>Por comprar</t>
        </is>
      </c>
      <c r="I63" s="2" t="inlineStr">
        <is>
          <t>Falta</t>
        </is>
      </c>
      <c r="J63" s="3" t="n"/>
      <c r="K63" s="2" t="inlineStr"/>
      <c r="L63" s="2" t="inlineStr"/>
      <c r="M63" s="2" t="inlineStr"/>
    </row>
    <row r="64">
      <c r="A64" s="2" t="inlineStr">
        <is>
          <t>H18</t>
        </is>
      </c>
      <c r="B64" s="2" t="inlineStr">
        <is>
          <t>Tornillería</t>
        </is>
      </c>
      <c r="C64" s="2" t="inlineStr">
        <is>
          <t>Tuerca M8</t>
        </is>
      </c>
      <c r="D64" s="2" t="inlineStr"/>
      <c r="E64" s="2" t="n">
        <v>1</v>
      </c>
      <c r="F64" s="2" t="inlineStr">
        <is>
          <t>u</t>
        </is>
      </c>
      <c r="G64" s="2" t="inlineStr">
        <is>
          <t>Pivote libre de la muñeca</t>
        </is>
      </c>
      <c r="H64" s="2" t="inlineStr">
        <is>
          <t>Por comprar</t>
        </is>
      </c>
      <c r="I64" s="2" t="inlineStr">
        <is>
          <t>Falta</t>
        </is>
      </c>
      <c r="J64" s="3" t="n"/>
      <c r="K64" s="2" t="inlineStr"/>
      <c r="L64" s="2" t="inlineStr"/>
      <c r="M64" s="2" t="inlineStr"/>
    </row>
    <row r="65">
      <c r="A65" s="2" t="inlineStr">
        <is>
          <t>H19</t>
        </is>
      </c>
      <c r="B65" s="2" t="inlineStr">
        <is>
          <t>Tornillería</t>
        </is>
      </c>
      <c r="C65" s="2" t="inlineStr">
        <is>
          <t>Arandela M4</t>
        </is>
      </c>
      <c r="D65" s="2" t="inlineStr"/>
      <c r="E65" s="2" t="n">
        <v>12</v>
      </c>
      <c r="F65" s="2" t="inlineStr">
        <is>
          <t>u</t>
        </is>
      </c>
      <c r="G65" s="2" t="inlineStr">
        <is>
          <t>Bajo el tablero</t>
        </is>
      </c>
      <c r="H65" s="2" t="inlineStr">
        <is>
          <t>Por comprar</t>
        </is>
      </c>
      <c r="I65" s="2" t="inlineStr">
        <is>
          <t>Falta</t>
        </is>
      </c>
      <c r="J65" s="3" t="n"/>
      <c r="K65" s="2" t="inlineStr"/>
      <c r="L65" s="2" t="inlineStr"/>
      <c r="M65" s="2" t="inlineStr"/>
    </row>
    <row r="66">
      <c r="A66" s="2" t="inlineStr">
        <is>
          <t>H20</t>
        </is>
      </c>
      <c r="B66" s="2" t="inlineStr">
        <is>
          <t>Tornillería</t>
        </is>
      </c>
      <c r="C66" s="2" t="inlineStr">
        <is>
          <t>Arandela M5</t>
        </is>
      </c>
      <c r="D66" s="2" t="inlineStr"/>
      <c r="E66" s="2" t="n">
        <v>6</v>
      </c>
      <c r="F66" s="2" t="inlineStr">
        <is>
          <t>u</t>
        </is>
      </c>
      <c r="G66" s="2" t="inlineStr">
        <is>
          <t>4 patas · 2 polea loca de J3</t>
        </is>
      </c>
      <c r="H66" s="2" t="inlineStr">
        <is>
          <t>Por comprar</t>
        </is>
      </c>
      <c r="I66" s="2" t="inlineStr">
        <is>
          <t>Falta</t>
        </is>
      </c>
      <c r="J66" s="3" t="n"/>
      <c r="K66" s="2" t="inlineStr"/>
      <c r="L66" s="2" t="inlineStr"/>
      <c r="M66" s="2" t="inlineStr"/>
    </row>
    <row r="67">
      <c r="A67" s="2" t="inlineStr">
        <is>
          <t>H22</t>
        </is>
      </c>
      <c r="B67" s="2" t="inlineStr">
        <is>
          <t>Tornillería</t>
        </is>
      </c>
      <c r="C67" s="2" t="inlineStr">
        <is>
          <t>Separador M5 × 10</t>
        </is>
      </c>
      <c r="D67" s="2" t="inlineStr"/>
      <c r="E67" s="2" t="n">
        <v>8</v>
      </c>
      <c r="F67" s="2" t="inlineStr">
        <is>
          <t>u</t>
        </is>
      </c>
      <c r="G67" s="2" t="inlineStr">
        <is>
          <t>Rodillos de la lazy susan</t>
        </is>
      </c>
      <c r="H67" s="2" t="inlineStr">
        <is>
          <t>Por comprar</t>
        </is>
      </c>
      <c r="I67" s="2" t="inlineStr">
        <is>
          <t>Falta</t>
        </is>
      </c>
      <c r="J67" s="3" t="n"/>
      <c r="K67" s="2" t="inlineStr"/>
      <c r="L67" s="2" t="inlineStr"/>
      <c r="M67" s="2" t="inlineStr"/>
    </row>
    <row r="68">
      <c r="A68" s="2" t="inlineStr">
        <is>
          <t>H23</t>
        </is>
      </c>
      <c r="B68" s="2" t="inlineStr">
        <is>
          <t>Tornillería</t>
        </is>
      </c>
      <c r="C68" s="2" t="inlineStr">
        <is>
          <t>Separador M8 × 20</t>
        </is>
      </c>
      <c r="D68" s="2" t="inlineStr"/>
      <c r="E68" s="2" t="n">
        <v>2</v>
      </c>
      <c r="F68" s="2" t="inlineStr">
        <is>
          <t>u</t>
        </is>
      </c>
      <c r="G68" s="2" t="inlineStr">
        <is>
          <t>Eje central de J1</t>
        </is>
      </c>
      <c r="H68" s="2" t="inlineStr">
        <is>
          <t>Por comprar</t>
        </is>
      </c>
      <c r="I68" s="2" t="inlineStr">
        <is>
          <t>Falta</t>
        </is>
      </c>
      <c r="J68" s="3" t="n"/>
      <c r="K68" s="2" t="inlineStr"/>
      <c r="L68" s="2" t="inlineStr"/>
      <c r="M68" s="2" t="inlineStr"/>
    </row>
    <row r="69">
      <c r="A69" s="2" t="inlineStr">
        <is>
          <t>H24</t>
        </is>
      </c>
      <c r="B69" s="2" t="inlineStr">
        <is>
          <t>Tornillería</t>
        </is>
      </c>
      <c r="C69" s="2" t="inlineStr">
        <is>
          <t>Pasador de acero Ø3</t>
        </is>
      </c>
      <c r="D69" s="2" t="inlineStr">
        <is>
          <t>Ø3 × 30 mm</t>
        </is>
      </c>
      <c r="E69" s="2" t="n">
        <v>2</v>
      </c>
      <c r="F69" s="2" t="inlineStr">
        <is>
          <t>u</t>
        </is>
      </c>
      <c r="G69" s="2" t="inlineStr">
        <is>
          <t>Tubo de E3 → brida CB-402 y tapón CB-403</t>
        </is>
      </c>
      <c r="H69" s="2" t="inlineStr">
        <is>
          <t>Por comprar</t>
        </is>
      </c>
      <c r="I69" s="2" t="inlineStr">
        <is>
          <t>Falta</t>
        </is>
      </c>
      <c r="J69" s="3" t="n"/>
      <c r="K69" s="2" t="inlineStr"/>
      <c r="L69" s="2" t="inlineStr"/>
      <c r="M69" s="2" t="inlineStr">
        <is>
          <t>Al ras: el tubo desliza en el canal con 0,5 mm de juego (una cabeza de tornillo roza). Además pegar con epoxi</t>
        </is>
      </c>
    </row>
    <row r="70">
      <c r="A70" s="2" t="inlineStr">
        <is>
          <t>H25</t>
        </is>
      </c>
      <c r="B70" s="2" t="inlineStr">
        <is>
          <t>Tornillería</t>
        </is>
      </c>
      <c r="C70" s="2" t="inlineStr">
        <is>
          <t>Tornillo M5 × 70</t>
        </is>
      </c>
      <c r="D70" s="2" t="inlineStr"/>
      <c r="E70" s="2" t="n">
        <v>1</v>
      </c>
      <c r="F70" s="2" t="inlineStr">
        <is>
          <t>u</t>
        </is>
      </c>
      <c r="G70" s="2" t="inlineStr">
        <is>
          <t>Eje vertical de la polea loca de J3 (atraviesa E2)</t>
        </is>
      </c>
      <c r="H70" s="2" t="inlineStr">
        <is>
          <t>Por comprar</t>
        </is>
      </c>
      <c r="I70" s="2" t="inlineStr">
        <is>
          <t>Falta</t>
        </is>
      </c>
      <c r="J70" s="3" t="n"/>
      <c r="K70" s="2" t="inlineStr"/>
      <c r="L70" s="2" t="inlineStr"/>
      <c r="M70" s="2" t="inlineStr"/>
    </row>
    <row r="71">
      <c r="A71" s="2" t="inlineStr">
        <is>
          <t>H26</t>
        </is>
      </c>
      <c r="B71" s="2" t="inlineStr">
        <is>
          <t>Tornillería</t>
        </is>
      </c>
      <c r="C71" s="2" t="inlineStr">
        <is>
          <t>Inserto térmico M3</t>
        </is>
      </c>
      <c r="D71" s="2" t="inlineStr">
        <is>
          <t>Para PETG, Ø ext. ≈ 4,6 mm, largo 5–6 mm</t>
        </is>
      </c>
      <c r="E71" s="2" t="n">
        <v>4</v>
      </c>
      <c r="F71" s="2" t="inlineStr">
        <is>
          <t>u</t>
        </is>
      </c>
      <c r="G71" s="2" t="inlineStr">
        <is>
          <t>Placa CB-306 del NEMA 17 → E2</t>
        </is>
      </c>
      <c r="H71" s="2" t="inlineStr">
        <is>
          <t>Por comprar</t>
        </is>
      </c>
      <c r="I71" s="2" t="inlineStr">
        <is>
          <t>Falta</t>
        </is>
      </c>
      <c r="J71" s="3" t="n"/>
      <c r="K71" s="2" t="inlineStr"/>
      <c r="L71" s="2" t="inlineStr"/>
      <c r="M71" s="2" t="inlineStr">
        <is>
          <t>Colocar con soldador a ≈ 220 °C</t>
        </is>
      </c>
    </row>
    <row r="72">
      <c r="A72" s="2" t="inlineStr">
        <is>
          <t>H27</t>
        </is>
      </c>
      <c r="B72" s="2" t="inlineStr">
        <is>
          <t>Tornillería</t>
        </is>
      </c>
      <c r="C72" s="2" t="inlineStr">
        <is>
          <t>Tuerca M3</t>
        </is>
      </c>
      <c r="D72" s="2" t="inlineStr"/>
      <c r="E72" s="2" t="n">
        <v>4</v>
      </c>
      <c r="F72" s="2" t="inlineStr">
        <is>
          <t>u</t>
        </is>
      </c>
      <c r="G72" s="2" t="inlineStr">
        <is>
          <t>Base del soporte estéreo → adaptador CB-154 (en los alojamientos hexagonales)</t>
        </is>
      </c>
      <c r="H72" s="2" t="inlineStr">
        <is>
          <t>Por comprar</t>
        </is>
      </c>
      <c r="I72" s="2" t="inlineStr">
        <is>
          <t>Falta</t>
        </is>
      </c>
      <c r="J72" s="3" t="n"/>
      <c r="K72" s="2" t="inlineStr"/>
      <c r="L72" s="2" t="inlineStr"/>
      <c r="M72" s="2" t="inlineStr"/>
    </row>
    <row r="73">
      <c r="A73" s="2" t="inlineStr">
        <is>
          <t>H28</t>
        </is>
      </c>
      <c r="B73" s="2" t="inlineStr">
        <is>
          <t>Tornillería</t>
        </is>
      </c>
      <c r="C73" s="2" t="inlineStr">
        <is>
          <t>Prisionero M4 × 6</t>
        </is>
      </c>
      <c r="D73" s="2" t="inlineStr">
        <is>
          <t>Allen, punta plana</t>
        </is>
      </c>
      <c r="E73" s="2" t="n">
        <v>2</v>
      </c>
      <c r="F73" s="2" t="inlineStr">
        <is>
          <t>u</t>
        </is>
      </c>
      <c r="G73" s="2" t="inlineStr">
        <is>
          <t>Pie y cabezal del mástil → tubo 20 × 20</t>
        </is>
      </c>
      <c r="H73" s="2" t="inlineStr">
        <is>
          <t>Por comprar</t>
        </is>
      </c>
      <c r="I73" s="2" t="inlineStr">
        <is>
          <t>Falta</t>
        </is>
      </c>
      <c r="J73" s="3" t="n"/>
      <c r="K73" s="2" t="inlineStr"/>
      <c r="L73" s="2" t="inlineStr"/>
      <c r="M73" s="2" t="inlineStr">
        <is>
          <t>Roscar el plástico o usar inserto M4</t>
        </is>
      </c>
    </row>
    <row r="74">
      <c r="A74" s="2" t="inlineStr">
        <is>
          <t>H29</t>
        </is>
      </c>
      <c r="B74" s="2" t="inlineStr">
        <is>
          <t>Tornillería</t>
        </is>
      </c>
      <c r="C74" s="2" t="inlineStr">
        <is>
          <t>Tirafondo 4 × 12</t>
        </is>
      </c>
      <c r="D74" s="2" t="inlineStr">
        <is>
          <t>Cabeza fresada</t>
        </is>
      </c>
      <c r="E74" s="2" t="n">
        <v>4</v>
      </c>
      <c r="F74" s="2" t="inlineStr">
        <is>
          <t>u</t>
        </is>
      </c>
      <c r="G74" s="2" t="inlineStr">
        <is>
          <t>Pie del mástil CB-151 → tablero</t>
        </is>
      </c>
      <c r="H74" s="2" t="inlineStr">
        <is>
          <t>Por comprar</t>
        </is>
      </c>
      <c r="I74" s="2" t="inlineStr">
        <is>
          <t>Falta</t>
        </is>
      </c>
      <c r="J74" s="3" t="n"/>
      <c r="K74" s="2" t="inlineStr"/>
      <c r="L74" s="2" t="inlineStr"/>
      <c r="M74" s="2" t="inlineStr">
        <is>
          <t>No pasantes: debajo está la pata de la base</t>
        </is>
      </c>
    </row>
    <row r="75">
      <c r="A75" s="2" t="inlineStr">
        <is>
          <t>H30</t>
        </is>
      </c>
      <c r="B75" s="2" t="inlineStr">
        <is>
          <t>Tornillería</t>
        </is>
      </c>
      <c r="C75" s="2" t="inlineStr">
        <is>
          <t>Tornillo autorroscante Ø3,5 × 10</t>
        </is>
      </c>
      <c r="D75" s="2" t="inlineStr">
        <is>
          <t>Cabeza plana</t>
        </is>
      </c>
      <c r="E75" s="2" t="n">
        <v>4</v>
      </c>
      <c r="F75" s="2" t="inlineStr">
        <is>
          <t>u</t>
        </is>
      </c>
      <c r="G75" s="2" t="inlineStr">
        <is>
          <t>Tapas CB-157 → postes del soporte estéreo (agujeros de Ø3,25)</t>
        </is>
      </c>
      <c r="H75" s="2" t="inlineStr">
        <is>
          <t>Por comprar</t>
        </is>
      </c>
      <c r="I75" s="2" t="inlineStr">
        <is>
          <t>Falta</t>
        </is>
      </c>
      <c r="J75" s="3" t="n"/>
      <c r="K75" s="2" t="inlineStr"/>
      <c r="L75" s="2" t="inlineStr"/>
      <c r="M75" s="2" t="inlineStr"/>
    </row>
    <row r="76">
      <c r="A76" s="2" t="inlineStr">
        <is>
          <t>H31</t>
        </is>
      </c>
      <c r="B76" s="2" t="inlineStr">
        <is>
          <t>Tornillería</t>
        </is>
      </c>
      <c r="C76" s="2" t="inlineStr">
        <is>
          <t>Tornillo M3 × 25 Allen + tuerca M3</t>
        </is>
      </c>
      <c r="D76" s="2" t="inlineStr">
        <is>
          <t>DIN 912</t>
        </is>
      </c>
      <c r="E76" s="2" t="n">
        <v>1</v>
      </c>
      <c r="F76" s="2" t="inlineStr">
        <is>
          <t>u</t>
        </is>
      </c>
      <c r="G76" s="2" t="inlineStr">
        <is>
          <t>Alma del cuello de la bola de la pieza de pruebas CB-158</t>
        </is>
      </c>
      <c r="H76" s="2" t="inlineStr">
        <is>
          <t>Por comprar</t>
        </is>
      </c>
      <c r="I76" s="2" t="inlineStr">
        <is>
          <t>Falta</t>
        </is>
      </c>
      <c r="J76" s="3" t="n"/>
      <c r="K76" s="2" t="inlineStr"/>
      <c r="L76" s="2" t="inlineStr"/>
      <c r="M76" s="2" t="inlineStr">
        <is>
          <t>Solo para las pruebas de visión sin el brazo</t>
        </is>
      </c>
    </row>
    <row r="77">
      <c r="A77" s="2" t="inlineStr">
        <is>
          <t>X01</t>
        </is>
      </c>
      <c r="B77" s="2" t="inlineStr">
        <is>
          <t>Materia prima y consumibles</t>
        </is>
      </c>
      <c r="C77" s="2" t="inlineStr">
        <is>
          <t>Tablero contrachapado o MDF</t>
        </is>
      </c>
      <c r="D77" s="2" t="inlineStr">
        <is>
          <t>550 × 550 × 16 mm</t>
        </is>
      </c>
      <c r="E77" s="2" t="n">
        <v>1</v>
      </c>
      <c r="F77" s="2" t="inlineStr">
        <is>
          <t>u</t>
        </is>
      </c>
      <c r="G77" s="2" t="inlineStr">
        <is>
          <t>Base del brazo</t>
        </is>
      </c>
      <c r="H77" s="2" t="inlineStr">
        <is>
          <t>Por comprar</t>
        </is>
      </c>
      <c r="I77" s="2" t="inlineStr">
        <is>
          <t>Falta</t>
        </is>
      </c>
      <c r="J77" s="3" t="n"/>
      <c r="K77" s="2" t="inlineStr"/>
      <c r="L77" s="2" t="inlineStr"/>
      <c r="M77" s="2" t="inlineStr">
        <is>
          <t>Agujeros: Ø42 motor J1 y 4 × Ø4.5 bandeja (ver CB-111)</t>
        </is>
      </c>
    </row>
    <row r="78">
      <c r="A78" s="2" t="inlineStr">
        <is>
          <t>X02</t>
        </is>
      </c>
      <c r="B78" s="2" t="inlineStr">
        <is>
          <t>Materia prima y consumibles</t>
        </is>
      </c>
      <c r="C78" s="2" t="inlineStr">
        <is>
          <t>Filamento PETG</t>
        </is>
      </c>
      <c r="D78" s="2" t="inlineStr">
        <is>
          <t>1,75 mm</t>
        </is>
      </c>
      <c r="E78" s="2" t="n">
        <v>4</v>
      </c>
      <c r="F78" s="2" t="inlineStr">
        <is>
          <t>kg</t>
        </is>
      </c>
      <c r="G78" s="2" t="inlineStr">
        <is>
          <t>Piezas impresas</t>
        </is>
      </c>
      <c r="H78" s="2" t="inlineStr">
        <is>
          <t>Por comprar</t>
        </is>
      </c>
      <c r="I78" s="2" t="inlineStr">
        <is>
          <t>Falta</t>
        </is>
      </c>
      <c r="J78" s="3" t="n"/>
      <c r="K78" s="2" t="inlineStr"/>
      <c r="L78" s="2" t="inlineStr"/>
      <c r="M78" s="2" t="inlineStr">
        <is>
          <t>Estimado 3–4 kg: calcular con el slicer</t>
        </is>
      </c>
    </row>
    <row r="79">
      <c r="A79" s="2" t="inlineStr">
        <is>
          <t>X03</t>
        </is>
      </c>
      <c r="B79" s="2" t="inlineStr">
        <is>
          <t>Materia prima y consumibles</t>
        </is>
      </c>
      <c r="C79" s="2" t="inlineStr">
        <is>
          <t>Epoxi bicomponente</t>
        </is>
      </c>
      <c r="D79" s="2" t="inlineStr"/>
      <c r="E79" s="2" t="n">
        <v>1</v>
      </c>
      <c r="F79" s="2" t="inlineStr">
        <is>
          <t>u</t>
        </is>
      </c>
      <c r="G79" s="2" t="inlineStr">
        <is>
          <t>Buje D8 en E2 · brida y tapón del tubo de E3</t>
        </is>
      </c>
      <c r="H79" s="2" t="inlineStr">
        <is>
          <t>Por comprar</t>
        </is>
      </c>
      <c r="I79" s="2" t="inlineStr">
        <is>
          <t>Falta</t>
        </is>
      </c>
      <c r="J79" s="3" t="n"/>
      <c r="K79" s="2" t="inlineStr"/>
      <c r="L79" s="2" t="inlineStr"/>
      <c r="M79" s="2" t="inlineStr"/>
    </row>
    <row r="80">
      <c r="A80" s="2" t="inlineStr">
        <is>
          <t>X04</t>
        </is>
      </c>
      <c r="B80" s="2" t="inlineStr">
        <is>
          <t>Materia prima y consumibles</t>
        </is>
      </c>
      <c r="C80" s="2" t="inlineStr">
        <is>
          <t>Cianoacrilato</t>
        </is>
      </c>
      <c r="D80" s="2" t="inlineStr"/>
      <c r="E80" s="2" t="n">
        <v>1</v>
      </c>
      <c r="F80" s="2" t="inlineStr">
        <is>
          <t>u</t>
        </is>
      </c>
      <c r="G80" s="2" t="inlineStr">
        <is>
          <t>Imán en el soporte CB-232</t>
        </is>
      </c>
      <c r="H80" s="2" t="inlineStr">
        <is>
          <t>Por comprar</t>
        </is>
      </c>
      <c r="I80" s="2" t="inlineStr">
        <is>
          <t>Falta</t>
        </is>
      </c>
      <c r="J80" s="3" t="n"/>
      <c r="K80" s="2" t="inlineStr"/>
      <c r="L80" s="2" t="inlineStr"/>
      <c r="M80" s="2" t="inlineStr"/>
    </row>
    <row r="81">
      <c r="A81" s="2" t="inlineStr">
        <is>
          <t>X05</t>
        </is>
      </c>
      <c r="B81" s="2" t="inlineStr">
        <is>
          <t>Materia prima y consumibles</t>
        </is>
      </c>
      <c r="C81" s="2" t="inlineStr">
        <is>
          <t>Tubo cuadrado de aluminio</t>
        </is>
      </c>
      <c r="D81" s="2" t="inlineStr">
        <is>
          <t>30 × 30 × 2 mm, largo 440 mm</t>
        </is>
      </c>
      <c r="E81" s="2" t="n">
        <v>1</v>
      </c>
      <c r="F81" s="2" t="inlineStr">
        <is>
          <t>u</t>
        </is>
      </c>
      <c r="G81" s="2" t="inlineStr">
        <is>
          <t>Eslabón E3 (prismático J3)</t>
        </is>
      </c>
      <c r="H81" s="2" t="inlineStr">
        <is>
          <t>Por comprar</t>
        </is>
      </c>
      <c r="I81" s="2" t="inlineStr">
        <is>
          <t>Falta</t>
        </is>
      </c>
      <c r="J81" s="3" t="n"/>
      <c r="K81" s="2" t="inlineStr"/>
      <c r="L81" s="2" t="inlineStr"/>
      <c r="M81" s="2" t="inlineStr">
        <is>
          <t>CAD: CB-401. Se desliza en el canal 31 × 31 de E2: cinta de PTFE (X06)</t>
        </is>
      </c>
    </row>
    <row r="82">
      <c r="A82" s="2" t="inlineStr">
        <is>
          <t>X06</t>
        </is>
      </c>
      <c r="B82" s="2" t="inlineStr">
        <is>
          <t>Materia prima y consumibles</t>
        </is>
      </c>
      <c r="C82" s="2" t="inlineStr">
        <is>
          <t>Cinta de PTFE adhesiva</t>
        </is>
      </c>
      <c r="D82" s="2" t="inlineStr">
        <is>
          <t>Ancho ≥ 20 mm</t>
        </is>
      </c>
      <c r="E82" s="2" t="n">
        <v>0.5</v>
      </c>
      <c r="F82" s="2" t="inlineStr">
        <is>
          <t>m</t>
        </is>
      </c>
      <c r="G82" s="2" t="inlineStr">
        <is>
          <t>Canal 31 × 31 de E2 (guía de J3)</t>
        </is>
      </c>
      <c r="H82" s="2" t="inlineStr">
        <is>
          <t>Por comprar</t>
        </is>
      </c>
      <c r="I82" s="2" t="inlineStr">
        <is>
          <t>Falta</t>
        </is>
      </c>
      <c r="J82" s="3" t="n"/>
      <c r="K82" s="2" t="inlineStr"/>
      <c r="L82" s="2" t="inlineStr"/>
      <c r="M82" s="2" t="inlineStr"/>
    </row>
    <row r="83">
      <c r="A83" s="2" t="inlineStr">
        <is>
          <t>X07</t>
        </is>
      </c>
      <c r="B83" s="2" t="inlineStr">
        <is>
          <t>Materia prima y consumibles</t>
        </is>
      </c>
      <c r="C83" s="2" t="inlineStr">
        <is>
          <t>Precinto plástico</t>
        </is>
      </c>
      <c r="D83" s="2" t="inlineStr">
        <is>
          <t>≈ 3 mm de ancho</t>
        </is>
      </c>
      <c r="E83" s="2" t="n">
        <v>2</v>
      </c>
      <c r="F83" s="2" t="inlineStr">
        <is>
          <t>u</t>
        </is>
      </c>
      <c r="G83" s="2" t="inlineStr">
        <is>
          <t>Extremos de la correa de J3 en la pinza CB-403</t>
        </is>
      </c>
      <c r="H83" s="2" t="inlineStr">
        <is>
          <t>Por comprar</t>
        </is>
      </c>
      <c r="I83" s="2" t="inlineStr">
        <is>
          <t>Falta</t>
        </is>
      </c>
      <c r="J83" s="3" t="n"/>
      <c r="K83" s="2" t="inlineStr"/>
      <c r="L83" s="2" t="inlineStr"/>
      <c r="M83" s="2" t="inlineStr"/>
    </row>
    <row r="84">
      <c r="A84" s="2" t="inlineStr">
        <is>
          <t>X08</t>
        </is>
      </c>
      <c r="B84" s="2" t="inlineStr">
        <is>
          <t>Materia prima y consumibles</t>
        </is>
      </c>
      <c r="C84" s="2" t="inlineStr">
        <is>
          <t>Tubo cuadrado de aluminio</t>
        </is>
      </c>
      <c r="D84" s="2" t="inlineStr">
        <is>
          <t>20 × 20 × 1,5 mm, largo 627 mm</t>
        </is>
      </c>
      <c r="E84" s="2" t="n">
        <v>1</v>
      </c>
      <c r="F84" s="2" t="inlineStr">
        <is>
          <t>u</t>
        </is>
      </c>
      <c r="G84" s="2" t="inlineStr">
        <is>
          <t>Mástil de las cámaras</t>
        </is>
      </c>
      <c r="H84" s="2" t="inlineStr">
        <is>
          <t>Por comprar</t>
        </is>
      </c>
      <c r="I84" s="2" t="inlineStr">
        <is>
          <t>Falta</t>
        </is>
      </c>
      <c r="J84" s="3" t="n"/>
      <c r="K84" s="2" t="inlineStr"/>
      <c r="L84" s="2" t="inlineStr"/>
      <c r="M84" s="2" t="inlineStr">
        <is>
          <t>CAD: CB-152</t>
        </is>
      </c>
    </row>
    <row r="85">
      <c r="A85" s="2" t="inlineStr">
        <is>
          <t>P01</t>
        </is>
      </c>
      <c r="B85" s="2" t="inlineStr">
        <is>
          <t>Piezas impresas</t>
        </is>
      </c>
      <c r="C85" s="2" t="inlineStr">
        <is>
          <t>CB-112 Pata de la base</t>
        </is>
      </c>
      <c r="D85" s="2" t="inlineStr">
        <is>
          <t>PETG, ≥ 4 perímetros</t>
        </is>
      </c>
      <c r="E85" s="2" t="n">
        <v>4</v>
      </c>
      <c r="F85" s="2" t="inlineStr">
        <is>
          <t>u</t>
        </is>
      </c>
      <c r="G85" s="2" t="inlineStr"/>
      <c r="H85" s="2" t="inlineStr">
        <is>
          <t>Impresión 3D</t>
        </is>
      </c>
      <c r="I85" s="2" t="inlineStr">
        <is>
          <t>Falta</t>
        </is>
      </c>
      <c r="J85" s="3" t="n"/>
      <c r="K85" s="2" t="inlineStr">
        <is>
          <t>Impresora del grupo (Ender 3 V2)</t>
        </is>
      </c>
      <c r="L85" s="2" t="inlineStr"/>
      <c r="M85" s="2" t="inlineStr"/>
    </row>
    <row r="86">
      <c r="A86" s="2" t="inlineStr">
        <is>
          <t>P02</t>
        </is>
      </c>
      <c r="B86" s="2" t="inlineStr">
        <is>
          <t>Piezas impresas</t>
        </is>
      </c>
      <c r="C86" s="2" t="inlineStr">
        <is>
          <t>CB-121 Placa fija J1 (1M2A)</t>
        </is>
      </c>
      <c r="D86" s="2" t="inlineStr">
        <is>
          <t>PETG, ≥ 4 perímetros</t>
        </is>
      </c>
      <c r="E86" s="2" t="n">
        <v>1</v>
      </c>
      <c r="F86" s="2" t="inlineStr">
        <is>
          <t>u</t>
        </is>
      </c>
      <c r="G86" s="2" t="inlineStr"/>
      <c r="H86" s="2" t="inlineStr">
        <is>
          <t>Impresión 3D</t>
        </is>
      </c>
      <c r="I86" s="2" t="inlineStr">
        <is>
          <t>Falta</t>
        </is>
      </c>
      <c r="J86" s="3" t="n"/>
      <c r="K86" s="2" t="inlineStr">
        <is>
          <t>Impresora del grupo (Ender 3 V2)</t>
        </is>
      </c>
      <c r="L86" s="2" t="inlineStr"/>
      <c r="M86" s="2" t="inlineStr"/>
    </row>
    <row r="87">
      <c r="A87" s="2" t="inlineStr">
        <is>
          <t>P03</t>
        </is>
      </c>
      <c r="B87" s="2" t="inlineStr">
        <is>
          <t>Piezas impresas</t>
        </is>
      </c>
      <c r="C87" s="2" t="inlineStr">
        <is>
          <t>CB-131 Soporte motor J1 (37D)</t>
        </is>
      </c>
      <c r="D87" s="2" t="inlineStr">
        <is>
          <t>PETG, ≥ 4 perímetros</t>
        </is>
      </c>
      <c r="E87" s="2" t="n">
        <v>1</v>
      </c>
      <c r="F87" s="2" t="inlineStr">
        <is>
          <t>u</t>
        </is>
      </c>
      <c r="G87" s="2" t="inlineStr"/>
      <c r="H87" s="2" t="inlineStr">
        <is>
          <t>Impresión 3D</t>
        </is>
      </c>
      <c r="I87" s="2" t="inlineStr">
        <is>
          <t>Falta</t>
        </is>
      </c>
      <c r="J87" s="3" t="n"/>
      <c r="K87" s="2" t="inlineStr">
        <is>
          <t>Impresora del grupo (Ender 3 V2)</t>
        </is>
      </c>
      <c r="L87" s="2" t="inlineStr"/>
      <c r="M87" s="2" t="inlineStr"/>
    </row>
    <row r="88">
      <c r="A88" s="2" t="inlineStr">
        <is>
          <t>P04</t>
        </is>
      </c>
      <c r="B88" s="2" t="inlineStr">
        <is>
          <t>Piezas impresas</t>
        </is>
      </c>
      <c r="C88" s="2" t="inlineStr">
        <is>
          <t>CB-141 Bandeja de electrónica</t>
        </is>
      </c>
      <c r="D88" s="2" t="inlineStr">
        <is>
          <t>PETG, ≥ 4 perímetros</t>
        </is>
      </c>
      <c r="E88" s="2" t="n">
        <v>1</v>
      </c>
      <c r="F88" s="2" t="inlineStr">
        <is>
          <t>u</t>
        </is>
      </c>
      <c r="G88" s="2" t="inlineStr"/>
      <c r="H88" s="2" t="inlineStr">
        <is>
          <t>Impresión 3D</t>
        </is>
      </c>
      <c r="I88" s="2" t="inlineStr">
        <is>
          <t>Falta</t>
        </is>
      </c>
      <c r="J88" s="3" t="n"/>
      <c r="K88" s="2" t="inlineStr">
        <is>
          <t>Impresora del grupo (Ender 3 V2)</t>
        </is>
      </c>
      <c r="L88" s="2" t="inlineStr"/>
      <c r="M88" s="2" t="inlineStr">
        <is>
          <t>210 × 100 mm</t>
        </is>
      </c>
    </row>
    <row r="89">
      <c r="A89" s="2" t="inlineStr">
        <is>
          <t>P05</t>
        </is>
      </c>
      <c r="B89" s="2" t="inlineStr">
        <is>
          <t>Piezas impresas</t>
        </is>
      </c>
      <c r="C89" s="2" t="inlineStr">
        <is>
          <t>CB-201 Plato giratorio con dientes T5 (1M1B)</t>
        </is>
      </c>
      <c r="D89" s="2" t="inlineStr">
        <is>
          <t>PETG, ≥ 4 perímetros</t>
        </is>
      </c>
      <c r="E89" s="2" t="n">
        <v>1</v>
      </c>
      <c r="F89" s="2" t="inlineStr">
        <is>
          <t>u</t>
        </is>
      </c>
      <c r="G89" s="2" t="inlineStr"/>
      <c r="H89" s="2" t="inlineStr">
        <is>
          <t>Impresión 3D</t>
        </is>
      </c>
      <c r="I89" s="2" t="inlineStr">
        <is>
          <t>Falta</t>
        </is>
      </c>
      <c r="J89" s="3" t="n"/>
      <c r="K89" s="2" t="inlineStr">
        <is>
          <t>Impresora del grupo (Ender 3 V2)</t>
        </is>
      </c>
      <c r="L89" s="2" t="inlineStr"/>
      <c r="M89" s="2" t="inlineStr"/>
    </row>
    <row r="90">
      <c r="A90" s="2" t="inlineStr">
        <is>
          <t>P06</t>
        </is>
      </c>
      <c r="B90" s="2" t="inlineStr">
        <is>
          <t>Piezas impresas</t>
        </is>
      </c>
      <c r="C90" s="2" t="inlineStr">
        <is>
          <t>CB-210 Torre de cintura (2M1D mod)</t>
        </is>
      </c>
      <c r="D90" s="2" t="inlineStr">
        <is>
          <t>PETG, ≥ 4 perímetros</t>
        </is>
      </c>
      <c r="E90" s="2" t="n">
        <v>1</v>
      </c>
      <c r="F90" s="2" t="inlineStr">
        <is>
          <t>u</t>
        </is>
      </c>
      <c r="G90" s="2" t="inlineStr"/>
      <c r="H90" s="2" t="inlineStr">
        <is>
          <t>Impresión 3D</t>
        </is>
      </c>
      <c r="I90" s="2" t="inlineStr">
        <is>
          <t>Falta</t>
        </is>
      </c>
      <c r="J90" s="3" t="n"/>
      <c r="K90" s="2" t="inlineStr">
        <is>
          <t>Impresora del grupo (Ender 3 V2)</t>
        </is>
      </c>
      <c r="L90" s="2" t="inlineStr"/>
      <c r="M90" s="2" t="inlineStr">
        <is>
          <t>318 mm de alto: hay que partirla para la Ender 3 V2</t>
        </is>
      </c>
    </row>
    <row r="91">
      <c r="A91" s="2" t="inlineStr">
        <is>
          <t>P07</t>
        </is>
      </c>
      <c r="B91" s="2" t="inlineStr">
        <is>
          <t>Piezas impresas</t>
        </is>
      </c>
      <c r="C91" s="2" t="inlineStr">
        <is>
          <t>CB-232 Soporte del imán</t>
        </is>
      </c>
      <c r="D91" s="2" t="inlineStr">
        <is>
          <t>PETG, ≥ 4 perímetros</t>
        </is>
      </c>
      <c r="E91" s="2" t="n">
        <v>1</v>
      </c>
      <c r="F91" s="2" t="inlineStr">
        <is>
          <t>u</t>
        </is>
      </c>
      <c r="G91" s="2" t="inlineStr"/>
      <c r="H91" s="2" t="inlineStr">
        <is>
          <t>Impresión 3D</t>
        </is>
      </c>
      <c r="I91" s="2" t="inlineStr">
        <is>
          <t>Falta</t>
        </is>
      </c>
      <c r="J91" s="3" t="n"/>
      <c r="K91" s="2" t="inlineStr">
        <is>
          <t>Impresora del grupo (Ender 3 V2)</t>
        </is>
      </c>
      <c r="L91" s="2" t="inlineStr"/>
      <c r="M91" s="2" t="inlineStr"/>
    </row>
    <row r="92">
      <c r="A92" s="2" t="inlineStr">
        <is>
          <t>P08</t>
        </is>
      </c>
      <c r="B92" s="2" t="inlineStr">
        <is>
          <t>Piezas impresas</t>
        </is>
      </c>
      <c r="C92" s="2" t="inlineStr">
        <is>
          <t>CB-301 Eslabón E2</t>
        </is>
      </c>
      <c r="D92" s="2" t="inlineStr">
        <is>
          <t>PETG: cubo ≥ 6 perímetros 50 %, cola 3 perímetros 15 %</t>
        </is>
      </c>
      <c r="E92" s="2" t="n">
        <v>1</v>
      </c>
      <c r="F92" s="2" t="inlineStr">
        <is>
          <t>u</t>
        </is>
      </c>
      <c r="G92" s="2" t="inlineStr"/>
      <c r="H92" s="2" t="inlineStr">
        <is>
          <t>Impresión 3D</t>
        </is>
      </c>
      <c r="I92" s="2" t="inlineStr">
        <is>
          <t>Falta</t>
        </is>
      </c>
      <c r="J92" s="3" t="n"/>
      <c r="K92" s="2" t="inlineStr">
        <is>
          <t>Impresora del grupo (Ender 3 V2)</t>
        </is>
      </c>
      <c r="L92" s="2" t="inlineStr"/>
      <c r="M92" s="2" t="inlineStr">
        <is>
          <t>470 mm de largo: partir en 2 tramos (cubo del hombro hasta x ≈ −100 + cola). La cola liviana baja el torque de J2</t>
        </is>
      </c>
    </row>
    <row r="93">
      <c r="A93" s="2" t="inlineStr">
        <is>
          <t>P09</t>
        </is>
      </c>
      <c r="B93" s="2" t="inlineStr">
        <is>
          <t>Piezas impresas</t>
        </is>
      </c>
      <c r="C93" s="2" t="inlineStr">
        <is>
          <t>CB-402 Brida de E3 (herramienta)</t>
        </is>
      </c>
      <c r="D93" s="2" t="inlineStr">
        <is>
          <t>PETG, ≥ 4 perímetros</t>
        </is>
      </c>
      <c r="E93" s="2" t="n">
        <v>1</v>
      </c>
      <c r="F93" s="2" t="inlineStr">
        <is>
          <t>u</t>
        </is>
      </c>
      <c r="G93" s="2" t="inlineStr"/>
      <c r="H93" s="2" t="inlineStr">
        <is>
          <t>Impresión 3D</t>
        </is>
      </c>
      <c r="I93" s="2" t="inlineStr">
        <is>
          <t>Falta</t>
        </is>
      </c>
      <c r="J93" s="3" t="n"/>
      <c r="K93" s="2" t="inlineStr">
        <is>
          <t>Impresora del grupo (Ender 3 V2)</t>
        </is>
      </c>
      <c r="L93" s="2" t="inlineStr"/>
      <c r="M93" s="2" t="inlineStr">
        <is>
          <t>Tapón al 100 % de relleno</t>
        </is>
      </c>
    </row>
    <row r="94">
      <c r="A94" s="2" t="inlineStr">
        <is>
          <t>P10</t>
        </is>
      </c>
      <c r="B94" s="2" t="inlineStr">
        <is>
          <t>Piezas impresas</t>
        </is>
      </c>
      <c r="C94" s="2" t="inlineStr">
        <is>
          <t>CB-303 Tapa de E2 / soporte AS5600</t>
        </is>
      </c>
      <c r="D94" s="2" t="inlineStr">
        <is>
          <t>PETG, ≥ 4 perímetros</t>
        </is>
      </c>
      <c r="E94" s="2" t="n">
        <v>1</v>
      </c>
      <c r="F94" s="2" t="inlineStr">
        <is>
          <t>u</t>
        </is>
      </c>
      <c r="G94" s="2" t="inlineStr"/>
      <c r="H94" s="2" t="inlineStr">
        <is>
          <t>Impresión 3D</t>
        </is>
      </c>
      <c r="I94" s="2" t="inlineStr">
        <is>
          <t>Falta</t>
        </is>
      </c>
      <c r="J94" s="3" t="n"/>
      <c r="K94" s="2" t="inlineStr">
        <is>
          <t>Impresora del grupo (Ender 3 V2)</t>
        </is>
      </c>
      <c r="L94" s="2" t="inlineStr"/>
      <c r="M94" s="2" t="inlineStr"/>
    </row>
    <row r="95">
      <c r="A95" s="2" t="inlineStr">
        <is>
          <t>P11</t>
        </is>
      </c>
      <c r="B95" s="2" t="inlineStr">
        <is>
          <t>Piezas impresas</t>
        </is>
      </c>
      <c r="C95" s="2" t="inlineStr">
        <is>
          <t>CB-305 Buje D8 del hombro</t>
        </is>
      </c>
      <c r="D95" s="2" t="inlineStr">
        <is>
          <t>PETG, ≥ 4 perímetros</t>
        </is>
      </c>
      <c r="E95" s="2" t="n">
        <v>1</v>
      </c>
      <c r="F95" s="2" t="inlineStr">
        <is>
          <t>u</t>
        </is>
      </c>
      <c r="G95" s="2" t="inlineStr"/>
      <c r="H95" s="2" t="inlineStr">
        <is>
          <t>Impresión 3D</t>
        </is>
      </c>
      <c r="I95" s="2" t="inlineStr">
        <is>
          <t>Falta</t>
        </is>
      </c>
      <c r="J95" s="3" t="n"/>
      <c r="K95" s="2" t="inlineStr">
        <is>
          <t>Impresora del grupo (Ender 3 V2)</t>
        </is>
      </c>
      <c r="L95" s="2" t="inlineStr"/>
      <c r="M95" s="2" t="inlineStr">
        <is>
          <t>Mejor en aluminio: transmite el torque del hombro (≈ 39 kg·cm de pico)</t>
        </is>
      </c>
    </row>
    <row r="96">
      <c r="A96" s="2" t="inlineStr">
        <is>
          <t>P12</t>
        </is>
      </c>
      <c r="B96" s="2" t="inlineStr">
        <is>
          <t>Piezas impresas</t>
        </is>
      </c>
      <c r="C96" s="2" t="inlineStr">
        <is>
          <t>CB-403 Tapón trasero con pinza de correa</t>
        </is>
      </c>
      <c r="D96" s="2" t="inlineStr">
        <is>
          <t>PETG, ≥ 4 perímetros</t>
        </is>
      </c>
      <c r="E96" s="2" t="n">
        <v>1</v>
      </c>
      <c r="F96" s="2" t="inlineStr">
        <is>
          <t>u</t>
        </is>
      </c>
      <c r="G96" s="2" t="inlineStr"/>
      <c r="H96" s="2" t="inlineStr">
        <is>
          <t>Impresión 3D</t>
        </is>
      </c>
      <c r="I96" s="2" t="inlineStr">
        <is>
          <t>Falta</t>
        </is>
      </c>
      <c r="J96" s="3" t="n"/>
      <c r="K96" s="2" t="inlineStr">
        <is>
          <t>Impresora del grupo (Ender 3 V2)</t>
        </is>
      </c>
      <c r="L96" s="2" t="inlineStr"/>
      <c r="M96" s="2" t="inlineStr">
        <is>
          <t>Relleno 100 %</t>
        </is>
      </c>
    </row>
    <row r="97">
      <c r="A97" s="2" t="inlineStr">
        <is>
          <t>P13</t>
        </is>
      </c>
      <c r="B97" s="2" t="inlineStr">
        <is>
          <t>Piezas impresas</t>
        </is>
      </c>
      <c r="C97" s="2" t="inlineStr">
        <is>
          <t>CB-601 Horquilla U</t>
        </is>
      </c>
      <c r="D97" s="2" t="inlineStr">
        <is>
          <t>PETG, ≥ 4 perímetros</t>
        </is>
      </c>
      <c r="E97" s="2" t="n">
        <v>1</v>
      </c>
      <c r="F97" s="2" t="inlineStr">
        <is>
          <t>u</t>
        </is>
      </c>
      <c r="G97" s="2" t="inlineStr"/>
      <c r="H97" s="2" t="inlineStr">
        <is>
          <t>Impresión 3D</t>
        </is>
      </c>
      <c r="I97" s="2" t="inlineStr">
        <is>
          <t>Falta</t>
        </is>
      </c>
      <c r="J97" s="3" t="n"/>
      <c r="K97" s="2" t="inlineStr">
        <is>
          <t>Impresora del grupo (Ender 3 V2)</t>
        </is>
      </c>
      <c r="L97" s="2" t="inlineStr"/>
      <c r="M97" s="2" t="inlineStr"/>
    </row>
    <row r="98">
      <c r="A98" s="2" t="inlineStr">
        <is>
          <t>P14</t>
        </is>
      </c>
      <c r="B98" s="2" t="inlineStr">
        <is>
          <t>Piezas impresas</t>
        </is>
      </c>
      <c r="C98" s="2" t="inlineStr">
        <is>
          <t>CB-602 Porta-servo</t>
        </is>
      </c>
      <c r="D98" s="2" t="inlineStr">
        <is>
          <t>PETG, ≥ 4 perímetros</t>
        </is>
      </c>
      <c r="E98" s="2" t="n">
        <v>1</v>
      </c>
      <c r="F98" s="2" t="inlineStr">
        <is>
          <t>u</t>
        </is>
      </c>
      <c r="G98" s="2" t="inlineStr"/>
      <c r="H98" s="2" t="inlineStr">
        <is>
          <t>Impresión 3D</t>
        </is>
      </c>
      <c r="I98" s="2" t="inlineStr">
        <is>
          <t>Falta</t>
        </is>
      </c>
      <c r="J98" s="3" t="n"/>
      <c r="K98" s="2" t="inlineStr">
        <is>
          <t>Impresora del grupo (Ender 3 V2)</t>
        </is>
      </c>
      <c r="L98" s="2" t="inlineStr"/>
      <c r="M98" s="2" t="inlineStr">
        <is>
          <t>Ranura para el cable del servo de torsión (v7.3); el cable sale por la muesca de la caja CB-603. STL: cad/imprimir/00_Herramienta/CB-602_Porta_Servo.stl</t>
        </is>
      </c>
    </row>
    <row r="99">
      <c r="A99" s="2" t="inlineStr">
        <is>
          <t>P15</t>
        </is>
      </c>
      <c r="B99" s="2" t="inlineStr">
        <is>
          <t>Piezas impresas</t>
        </is>
      </c>
      <c r="C99" s="2" t="inlineStr">
        <is>
          <t>CB-603 Caja de torsión</t>
        </is>
      </c>
      <c r="D99" s="2" t="inlineStr">
        <is>
          <t>PETG, ≥ 4 perímetros</t>
        </is>
      </c>
      <c r="E99" s="2" t="n">
        <v>1</v>
      </c>
      <c r="F99" s="2" t="inlineStr">
        <is>
          <t>u</t>
        </is>
      </c>
      <c r="G99" s="2" t="inlineStr"/>
      <c r="H99" s="2" t="inlineStr">
        <is>
          <t>Impresión 3D</t>
        </is>
      </c>
      <c r="I99" s="2" t="inlineStr">
        <is>
          <t>Falta</t>
        </is>
      </c>
      <c r="J99" s="3" t="n"/>
      <c r="K99" s="2" t="inlineStr">
        <is>
          <t>Impresora del grupo (Ender 3 V2)</t>
        </is>
      </c>
      <c r="L99" s="2" t="inlineStr"/>
      <c r="M99" s="2" t="inlineStr"/>
    </row>
    <row r="100">
      <c r="A100" s="2" t="inlineStr">
        <is>
          <t>P16</t>
        </is>
      </c>
      <c r="B100" s="2" t="inlineStr">
        <is>
          <t>Piezas impresas</t>
        </is>
      </c>
      <c r="C100" s="2" t="inlineStr">
        <is>
          <t>CB-604 Tapa de la caja</t>
        </is>
      </c>
      <c r="D100" s="2" t="inlineStr">
        <is>
          <t>PETG, ≥ 4 perímetros</t>
        </is>
      </c>
      <c r="E100" s="2" t="n">
        <v>1</v>
      </c>
      <c r="F100" s="2" t="inlineStr">
        <is>
          <t>u</t>
        </is>
      </c>
      <c r="G100" s="2" t="inlineStr"/>
      <c r="H100" s="2" t="inlineStr">
        <is>
          <t>Impresión 3D</t>
        </is>
      </c>
      <c r="I100" s="2" t="inlineStr">
        <is>
          <t>Falta</t>
        </is>
      </c>
      <c r="J100" s="3" t="n"/>
      <c r="K100" s="2" t="inlineStr">
        <is>
          <t>Impresora del grupo (Ender 3 V2)</t>
        </is>
      </c>
      <c r="L100" s="2" t="inlineStr"/>
      <c r="M100" s="2" t="inlineStr"/>
    </row>
    <row r="101">
      <c r="A101" s="2" t="inlineStr">
        <is>
          <t>P17</t>
        </is>
      </c>
      <c r="B101" s="2" t="inlineStr">
        <is>
          <t>Piezas impresas</t>
        </is>
      </c>
      <c r="C101" s="2" t="inlineStr">
        <is>
          <t>CB-605 Polea del servo GT2 66 dientes</t>
        </is>
      </c>
      <c r="D101" s="2" t="inlineStr">
        <is>
          <t>PETG, ≥ 4 perímetros</t>
        </is>
      </c>
      <c r="E101" s="2" t="n">
        <v>1</v>
      </c>
      <c r="F101" s="2" t="inlineStr">
        <is>
          <t>u</t>
        </is>
      </c>
      <c r="G101" s="2" t="inlineStr"/>
      <c r="H101" s="2" t="inlineStr">
        <is>
          <t>Impresión 3D</t>
        </is>
      </c>
      <c r="I101" s="2" t="inlineStr">
        <is>
          <t>Falta</t>
        </is>
      </c>
      <c r="J101" s="3" t="n"/>
      <c r="K101" s="2" t="inlineStr">
        <is>
          <t>Impresora del grupo (Ender 3 V2)</t>
        </is>
      </c>
      <c r="L101" s="2" t="inlineStr"/>
      <c r="M101" s="2" t="inlineStr">
        <is>
          <t>Relleno 100 %</t>
        </is>
      </c>
    </row>
    <row r="102">
      <c r="A102" s="2" t="inlineStr">
        <is>
          <t>P18</t>
        </is>
      </c>
      <c r="B102" s="2" t="inlineStr">
        <is>
          <t>Piezas impresas</t>
        </is>
      </c>
      <c r="C102" s="2" t="inlineStr">
        <is>
          <t>CB-606 Eje hueco con polea GT2 66 dientes</t>
        </is>
      </c>
      <c r="D102" s="2" t="inlineStr">
        <is>
          <t>PETG, ≥ 4 perímetros</t>
        </is>
      </c>
      <c r="E102" s="2" t="n">
        <v>1</v>
      </c>
      <c r="F102" s="2" t="inlineStr">
        <is>
          <t>u</t>
        </is>
      </c>
      <c r="G102" s="2" t="inlineStr"/>
      <c r="H102" s="2" t="inlineStr">
        <is>
          <t>Impresión 3D</t>
        </is>
      </c>
      <c r="I102" s="2" t="inlineStr">
        <is>
          <t>Falta</t>
        </is>
      </c>
      <c r="J102" s="3" t="n"/>
      <c r="K102" s="2" t="inlineStr">
        <is>
          <t>Impresora del grupo (Ender 3 V2)</t>
        </is>
      </c>
      <c r="L102" s="2" t="inlineStr"/>
      <c r="M102" s="2" t="inlineStr">
        <is>
          <t>Relleno 100 %. Alojamiento doble D para la ventosa en la punta (el eje gira la ventosa) y fondo de 3 mm donde apoya el racor N03. Imprimir con la polea abajo, sin soportes. STL: cad/imprimir/00_Herramienta/CB-606_Eje_Hueco_Polea.stl</t>
        </is>
      </c>
    </row>
    <row r="103">
      <c r="A103" s="2" t="inlineStr">
        <is>
          <t>P19</t>
        </is>
      </c>
      <c r="B103" s="2" t="inlineStr">
        <is>
          <t>Piezas impresas</t>
        </is>
      </c>
      <c r="C103" s="2" t="inlineStr">
        <is>
          <t>CB-607 Separador del pivote</t>
        </is>
      </c>
      <c r="D103" s="2" t="inlineStr">
        <is>
          <t>PETG, ≥ 4 perímetros</t>
        </is>
      </c>
      <c r="E103" s="2" t="n">
        <v>1</v>
      </c>
      <c r="F103" s="2" t="inlineStr">
        <is>
          <t>u</t>
        </is>
      </c>
      <c r="G103" s="2" t="inlineStr"/>
      <c r="H103" s="2" t="inlineStr">
        <is>
          <t>Impresión 3D</t>
        </is>
      </c>
      <c r="I103" s="2" t="inlineStr">
        <is>
          <t>Falta</t>
        </is>
      </c>
      <c r="J103" s="3" t="n"/>
      <c r="K103" s="2" t="inlineStr">
        <is>
          <t>Impresora del grupo (Ender 3 V2)</t>
        </is>
      </c>
      <c r="L103" s="2" t="inlineStr"/>
      <c r="M103" s="2" t="inlineStr"/>
    </row>
    <row r="104">
      <c r="A104" s="2" t="inlineStr">
        <is>
          <t>P20</t>
        </is>
      </c>
      <c r="B104" s="2" t="inlineStr">
        <is>
          <t>Piezas impresas</t>
        </is>
      </c>
      <c r="C104" s="2" t="inlineStr">
        <is>
          <t>Anillo de retención del eje hueco</t>
        </is>
      </c>
      <c r="D104" s="2" t="inlineStr">
        <is>
          <t>PETG, ≥ 4 perímetros</t>
        </is>
      </c>
      <c r="E104" s="2" t="n">
        <v>1</v>
      </c>
      <c r="F104" s="2" t="inlineStr">
        <is>
          <t>u</t>
        </is>
      </c>
      <c r="G104" s="2" t="inlineStr"/>
      <c r="H104" s="2" t="inlineStr">
        <is>
          <t>Impresión 3D</t>
        </is>
      </c>
      <c r="I104" s="2" t="inlineStr">
        <is>
          <t>Falta</t>
        </is>
      </c>
      <c r="J104" s="3" t="n"/>
      <c r="K104" s="2" t="inlineStr">
        <is>
          <t>Impresora del grupo (Ender 3 V2)</t>
        </is>
      </c>
      <c r="L104" s="2" t="inlineStr"/>
      <c r="M104" s="2" t="inlineStr">
        <is>
          <t>Solo en el .scad (pieza 5), no en el STEP de la herramienta</t>
        </is>
      </c>
    </row>
    <row r="105">
      <c r="A105" s="2" t="inlineStr">
        <is>
          <t>P21</t>
        </is>
      </c>
      <c r="B105" s="2" t="inlineStr">
        <is>
          <t>Piezas impresas</t>
        </is>
      </c>
      <c r="C105" s="2" t="inlineStr">
        <is>
          <t>CB-306 Placa soporte del NEMA 17 (J3)</t>
        </is>
      </c>
      <c r="D105" s="2" t="inlineStr">
        <is>
          <t>PETG, ≥ 4 perímetros</t>
        </is>
      </c>
      <c r="E105" s="2" t="n">
        <v>1</v>
      </c>
      <c r="F105" s="2" t="inlineStr">
        <is>
          <t>u</t>
        </is>
      </c>
      <c r="G105" s="2" t="inlineStr"/>
      <c r="H105" s="2" t="inlineStr">
        <is>
          <t>Impresión 3D</t>
        </is>
      </c>
      <c r="I105" s="2" t="inlineStr">
        <is>
          <t>Falta</t>
        </is>
      </c>
      <c r="J105" s="3" t="n"/>
      <c r="K105" s="2" t="inlineStr">
        <is>
          <t>Impresora del grupo (Ender 3 V2)</t>
        </is>
      </c>
      <c r="L105" s="2" t="inlineStr"/>
      <c r="M105" s="2" t="inlineStr">
        <is>
          <t>Relleno 100 %. Va a E2 con 4 insertos M3 (H26)</t>
        </is>
      </c>
    </row>
    <row r="106">
      <c r="A106" s="2" t="inlineStr">
        <is>
          <t>P22</t>
        </is>
      </c>
      <c r="B106" s="2" t="inlineStr">
        <is>
          <t>Piezas impresas</t>
        </is>
      </c>
      <c r="C106" s="2" t="inlineStr">
        <is>
          <t>CB-151 Pie del mástil de las cámaras</t>
        </is>
      </c>
      <c r="D106" s="2" t="inlineStr">
        <is>
          <t>PETG, ≥ 4 perímetros</t>
        </is>
      </c>
      <c r="E106" s="2" t="n">
        <v>1</v>
      </c>
      <c r="F106" s="2" t="inlineStr">
        <is>
          <t>u</t>
        </is>
      </c>
      <c r="G106" s="2" t="inlineStr"/>
      <c r="H106" s="2" t="inlineStr">
        <is>
          <t>Impresión 3D</t>
        </is>
      </c>
      <c r="I106" s="2" t="inlineStr">
        <is>
          <t>Falta</t>
        </is>
      </c>
      <c r="J106" s="3" t="n"/>
      <c r="K106" s="2" t="inlineStr">
        <is>
          <t>Impresora del grupo (Ender 3 V2)</t>
        </is>
      </c>
      <c r="L106" s="2" t="inlineStr"/>
      <c r="M106" s="2" t="inlineStr">
        <is>
          <t>Relleno 100 %</t>
        </is>
      </c>
    </row>
    <row r="107">
      <c r="A107" s="2" t="inlineStr">
        <is>
          <t>P23</t>
        </is>
      </c>
      <c r="B107" s="2" t="inlineStr">
        <is>
          <t>Piezas impresas</t>
        </is>
      </c>
      <c r="C107" s="2" t="inlineStr">
        <is>
          <t>CB-153 Cabezal del mástil</t>
        </is>
      </c>
      <c r="D107" s="2" t="inlineStr">
        <is>
          <t>PETG, ≥ 4 perímetros</t>
        </is>
      </c>
      <c r="E107" s="2" t="n">
        <v>1</v>
      </c>
      <c r="F107" s="2" t="inlineStr">
        <is>
          <t>u</t>
        </is>
      </c>
      <c r="G107" s="2" t="inlineStr"/>
      <c r="H107" s="2" t="inlineStr">
        <is>
          <t>Impresión 3D</t>
        </is>
      </c>
      <c r="I107" s="2" t="inlineStr">
        <is>
          <t>Falta</t>
        </is>
      </c>
      <c r="J107" s="3" t="n"/>
      <c r="K107" s="2" t="inlineStr">
        <is>
          <t>Impresora del grupo (Ender 3 V2)</t>
        </is>
      </c>
      <c r="L107" s="2" t="inlineStr"/>
      <c r="M107" s="2" t="inlineStr">
        <is>
          <t>Relleno 100 %. Orejas del pivote de cabeceo M5</t>
        </is>
      </c>
    </row>
    <row r="108">
      <c r="A108" s="2" t="inlineStr">
        <is>
          <t>P24</t>
        </is>
      </c>
      <c r="B108" s="2" t="inlineStr">
        <is>
          <t>Piezas impresas</t>
        </is>
      </c>
      <c r="C108" s="2" t="inlineStr">
        <is>
          <t>CB-154 Adaptador del soporte estéreo</t>
        </is>
      </c>
      <c r="D108" s="2" t="inlineStr">
        <is>
          <t>PETG, ≥ 4 perímetros</t>
        </is>
      </c>
      <c r="E108" s="2" t="n">
        <v>1</v>
      </c>
      <c r="F108" s="2" t="inlineStr">
        <is>
          <t>u</t>
        </is>
      </c>
      <c r="G108" s="2" t="inlineStr"/>
      <c r="H108" s="2" t="inlineStr">
        <is>
          <t>Impresión 3D</t>
        </is>
      </c>
      <c r="I108" s="2" t="inlineStr">
        <is>
          <t>Falta</t>
        </is>
      </c>
      <c r="J108" s="3" t="n"/>
      <c r="K108" s="2" t="inlineStr">
        <is>
          <t>Impresora del grupo (Ender 3 V2)</t>
        </is>
      </c>
      <c r="L108" s="2" t="inlineStr"/>
      <c r="M108" s="2" t="inlineStr">
        <is>
          <t>Relleno 100 %. Une el pivote del cabezal con la base del soporte. STL: cad/imprimir/01_Base_J0/CB-154_Adaptador_Soporte_Estereo.stl</t>
        </is>
      </c>
    </row>
    <row r="109">
      <c r="A109" s="2" t="inlineStr">
        <is>
          <t>P25</t>
        </is>
      </c>
      <c r="B109" s="2" t="inlineStr">
        <is>
          <t>Piezas impresas</t>
        </is>
      </c>
      <c r="C109" s="2" t="inlineStr">
        <is>
          <t>CB-156 Base del soporte estéreo (StereoVision_03)</t>
        </is>
      </c>
      <c r="D109" s="2" t="inlineStr">
        <is>
          <t>PETG, ≥ 4 perímetros</t>
        </is>
      </c>
      <c r="E109" s="2" t="n">
        <v>1</v>
      </c>
      <c r="F109" s="2" t="inlineStr">
        <is>
          <t>u</t>
        </is>
      </c>
      <c r="G109" s="2" t="inlineStr"/>
      <c r="H109" s="2" t="inlineStr">
        <is>
          <t>Impresión 3D</t>
        </is>
      </c>
      <c r="I109" s="2" t="inlineStr">
        <is>
          <t>Falta</t>
        </is>
      </c>
      <c r="J109" s="3" t="n"/>
      <c r="K109" s="2" t="inlineStr">
        <is>
          <t>Impresora del grupo (Ender 3 V2)</t>
        </is>
      </c>
      <c r="L109" s="2" t="inlineStr"/>
      <c r="M109" s="2" t="inlineStr">
        <is>
          <t>Remodelada del STL del usuario con los 4 agujeros para el adaptador ya hechos. STL: cad/imprimir/01_Base_J0/CB-156_Soporte_Estereo_C270_Base.stl</t>
        </is>
      </c>
    </row>
    <row r="110">
      <c r="A110" s="2" t="inlineStr">
        <is>
          <t>P26</t>
        </is>
      </c>
      <c r="B110" s="2" t="inlineStr">
        <is>
          <t>Piezas impresas</t>
        </is>
      </c>
      <c r="C110" s="2" t="inlineStr">
        <is>
          <t>CB-157 Tapa del soporte estéreo</t>
        </is>
      </c>
      <c r="D110" s="2" t="inlineStr">
        <is>
          <t>PETG, ≥ 4 perímetros</t>
        </is>
      </c>
      <c r="E110" s="2" t="n">
        <v>2</v>
      </c>
      <c r="F110" s="2" t="inlineStr">
        <is>
          <t>u</t>
        </is>
      </c>
      <c r="G110" s="2" t="inlineStr"/>
      <c r="H110" s="2" t="inlineStr">
        <is>
          <t>Impresión 3D</t>
        </is>
      </c>
      <c r="I110" s="2" t="inlineStr">
        <is>
          <t>Falta</t>
        </is>
      </c>
      <c r="J110" s="3" t="n"/>
      <c r="K110" s="2" t="inlineStr">
        <is>
          <t>Impresora del grupo (Ender 3 V2)</t>
        </is>
      </c>
      <c r="L110" s="2" t="inlineStr"/>
      <c r="M110" s="2" t="inlineStr">
        <is>
          <t>Traba la pinza de cada C270. STL: cad/imprimir/01_Base_J0/CB-157_Soporte_Estereo_C270_Tapa.stl</t>
        </is>
      </c>
    </row>
    <row r="111">
      <c r="A111" s="2" t="inlineStr">
        <is>
          <t>P27</t>
        </is>
      </c>
      <c r="B111" s="2" t="inlineStr">
        <is>
          <t>Piezas impresas</t>
        </is>
      </c>
      <c r="C111" s="2" t="inlineStr">
        <is>
          <t>CB-158 Adaptador con bola para la rótula del trípode (pruebas)</t>
        </is>
      </c>
      <c r="D111" s="2" t="inlineStr">
        <is>
          <t>PETG, 4 perímetros, 50 %</t>
        </is>
      </c>
      <c r="E111" s="2" t="n">
        <v>1</v>
      </c>
      <c r="F111" s="2" t="inlineStr">
        <is>
          <t>u</t>
        </is>
      </c>
      <c r="G111" s="2" t="inlineStr">
        <is>
          <t>Probar las cámaras en el trípode antes de montar el brazo</t>
        </is>
      </c>
      <c r="H111" s="2" t="inlineStr">
        <is>
          <t>Impresión 3D</t>
        </is>
      </c>
      <c r="I111" s="2" t="inlineStr">
        <is>
          <t>Falta</t>
        </is>
      </c>
      <c r="J111" s="3" t="n"/>
      <c r="K111" s="2" t="inlineStr">
        <is>
          <t>Impresora del grupo (Ender 3 V2)</t>
        </is>
      </c>
      <c r="L111" s="2" t="inlineStr"/>
      <c r="M111" s="2" t="inlineStr">
        <is>
          <t>No va en el robot. Bola Ø11,8 y cuello Ø4,8 en lugar del perno M6 del trípode; se cambia por CB-154 sin tocar las cámaras. Imprimir con la cara de arriba en la cama y soportes bajo la bola. STL: cad/imprimir/12_Pruebas/CB-158_Adaptador_Rotula_Bola12.stl</t>
        </is>
      </c>
    </row>
    <row r="112">
      <c r="A112" s="2" t="inlineStr">
        <is>
          <t>P28</t>
        </is>
      </c>
      <c r="B112" s="2" t="inlineStr">
        <is>
          <t>Piezas impresas</t>
        </is>
      </c>
      <c r="C112" s="2" t="inlineStr">
        <is>
          <t>CB-620 Llave de montaje del racor (herramienta)</t>
        </is>
      </c>
      <c r="D112" s="2" t="inlineStr">
        <is>
          <t>PETG, 4 perímetros, 50 %</t>
        </is>
      </c>
      <c r="E112" s="2" t="n">
        <v>1</v>
      </c>
      <c r="F112" s="2" t="inlineStr">
        <is>
          <t>u</t>
        </is>
      </c>
      <c r="G112" s="2" t="inlineStr">
        <is>
          <t>Apretar el racor N03 contra la ventosa desde el lado de la polea</t>
        </is>
      </c>
      <c r="H112" s="2" t="inlineStr">
        <is>
          <t>Impresión 3D</t>
        </is>
      </c>
      <c r="I112" s="2" t="inlineStr">
        <is>
          <t>Falta</t>
        </is>
      </c>
      <c r="J112" s="3" t="n"/>
      <c r="K112" s="2" t="inlineStr">
        <is>
          <t>Impresora del grupo (Ender 3 V2)</t>
        </is>
      </c>
      <c r="L112" s="2" t="inlineStr"/>
      <c r="M112" s="2" t="inlineStr">
        <is>
          <t>No va en el robot. STL: cad/imprimir/00_Herramienta/CB-620_Llave_Montaje_Racor.stl</t>
        </is>
      </c>
    </row>
  </sheetData>
  <autoFilter ref="A1:M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4" t="inlineStr">
        <is>
          <t>Origen</t>
        </is>
      </c>
      <c r="B1" s="4" t="inlineStr">
        <is>
          <t>Ítems</t>
        </is>
      </c>
    </row>
    <row r="2">
      <c r="A2" t="inlineStr">
        <is>
          <t>Préstamo laboratorio</t>
        </is>
      </c>
      <c r="B2">
        <f>COUNTIF(BOM!H:H,"Préstamo laboratorio")</f>
        <v/>
      </c>
    </row>
    <row r="3">
      <c r="A3" t="inlineStr">
        <is>
          <t>Compra grupal</t>
        </is>
      </c>
      <c r="B3">
        <f>COUNTIF(BOM!H:H,"Compra grupal")</f>
        <v/>
      </c>
    </row>
    <row r="4">
      <c r="A4" t="inlineStr">
        <is>
          <t>Propio</t>
        </is>
      </c>
      <c r="B4">
        <f>COUNTIF(BOM!H:H,"Propio")</f>
        <v/>
      </c>
    </row>
    <row r="5">
      <c r="A5" t="inlineStr">
        <is>
          <t>Impresión 3D</t>
        </is>
      </c>
      <c r="B5">
        <f>COUNTIF(BOM!H:H,"Impresión 3D")</f>
        <v/>
      </c>
    </row>
    <row r="6">
      <c r="A6" t="inlineStr">
        <is>
          <t>Por comprar</t>
        </is>
      </c>
      <c r="B6">
        <f>COUNTIF(BOM!H:H,"Por comprar")</f>
        <v/>
      </c>
    </row>
    <row r="7">
      <c r="A7" t="inlineStr">
        <is>
          <t>Por definir</t>
        </is>
      </c>
      <c r="B7">
        <f>COUNTIF(BOM!H:H,"Por definir")</f>
        <v/>
      </c>
    </row>
    <row r="8"/>
    <row r="9">
      <c r="A9" s="4" t="inlineStr">
        <is>
          <t>Estado</t>
        </is>
      </c>
      <c r="B9" s="4" t="inlineStr">
        <is>
          <t>Ítems</t>
        </is>
      </c>
    </row>
    <row r="10">
      <c r="A10" t="inlineStr">
        <is>
          <t>En mano</t>
        </is>
      </c>
      <c r="B10">
        <f>COUNTIF(BOM!I:I,"En mano")</f>
        <v/>
      </c>
    </row>
    <row r="11">
      <c r="A11" t="inlineStr">
        <is>
          <t>Prestado</t>
        </is>
      </c>
      <c r="B11">
        <f>COUNTIF(BOM!I:I,"Prestado")</f>
        <v/>
      </c>
    </row>
    <row r="12">
      <c r="A12" t="inlineStr">
        <is>
          <t>Pedido</t>
        </is>
      </c>
      <c r="B12">
        <f>COUNTIF(BOM!I:I,"Pedido")</f>
        <v/>
      </c>
    </row>
    <row r="13">
      <c r="A13" t="inlineStr">
        <is>
          <t>Falta</t>
        </is>
      </c>
      <c r="B13">
        <f>COUNTIF(BOM!I:I,"Falta")</f>
        <v/>
      </c>
    </row>
    <row r="14">
      <c r="A14" t="inlineStr">
        <is>
          <t>Por confirmar</t>
        </is>
      </c>
      <c r="B14">
        <f>COUNTIF(BOM!I:I,"Por confirmar")</f>
        <v/>
      </c>
    </row>
    <row r="15"/>
    <row r="16">
      <c r="A16" t="inlineStr">
        <is>
          <t>Gastado (compra grupal, USD)</t>
        </is>
      </c>
      <c r="B16" s="5">
        <f>SUM(BOM!J:J)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2026-10-30T02:55:53Z</dcterms:created>
  <dcterms:modified xmlns:dcterms="http://purl.org/dc/terms/" xmlns:xsi="http://www.w3.org/2001/XMLSchema-instance" xsi:type="dcterms:W3CDTF">2026-10-30T02:55:53Z</dcterms:modified>
</cp:coreProperties>
</file>